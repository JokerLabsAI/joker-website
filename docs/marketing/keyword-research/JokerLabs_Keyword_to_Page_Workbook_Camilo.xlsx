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amilo-castrillon/Documents/JokerLabsAICustomAgents/joker-website/docs/marketing/keyword-research/"/>
    </mc:Choice>
  </mc:AlternateContent>
  <xr:revisionPtr revIDLastSave="0" documentId="8_{3B912F20-F1E7-024D-92BE-7EDEE9F8640D}" xr6:coauthVersionLast="47" xr6:coauthVersionMax="47" xr10:uidLastSave="{00000000-0000-0000-0000-000000000000}"/>
  <bookViews>
    <workbookView xWindow="1160" yWindow="760" windowWidth="34840" windowHeight="22620" activeTab="2" xr2:uid="{00000000-000D-0000-FFFF-FFFF00000000}"/>
  </bookViews>
  <sheets>
    <sheet name="00_Start" sheetId="1" r:id="rId1"/>
    <sheet name="01_Markets" sheetId="2" r:id="rId2"/>
    <sheet name="02_Pages" sheetId="3" r:id="rId3"/>
    <sheet name="03_Seeds" sheetId="4" r:id="rId4"/>
    <sheet name="04_Keyword_Data" sheetId="5" r:id="rId5"/>
    <sheet name="05_SERP_Evidence" sheetId="6" r:id="rId6"/>
    <sheet name="06_Insights" sheetId="7" r:id="rId7"/>
    <sheet name="07_Page_Map" sheetId="8" r:id="rId8"/>
    <sheet name="08_Content_Briefs" sheetId="9" r:id="rId9"/>
    <sheet name="09_Search_Console" sheetId="10" r:id="rId10"/>
    <sheet name="10_Outcomes" sheetId="11" r:id="rId11"/>
    <sheet name="11_Exclusions" sheetId="12" r:id="rId12"/>
    <sheet name="12_Decisions" sheetId="13" r:id="rId13"/>
    <sheet name="13_Definitions" sheetId="14" r:id="rId14"/>
    <sheet name="14_Sources" sheetId="15" r:id="rId15"/>
  </sheets>
  <definedNames>
    <definedName name="_xlnm._FilterDatabase" localSheetId="0" hidden="1">'00_Start'!$A$1:$E$13</definedName>
    <definedName name="_xlnm._FilterDatabase" localSheetId="1" hidden="1">'01_Markets'!$A$1:$K$13</definedName>
    <definedName name="_xlnm._FilterDatabase" localSheetId="2" hidden="1">'02_Pages'!$A$1:$J$24</definedName>
    <definedName name="_xlnm._FilterDatabase" localSheetId="3" hidden="1">'03_Seeds'!$A$1:$J$91</definedName>
    <definedName name="_xlnm._FilterDatabase" localSheetId="4" hidden="1">'04_Keyword_Data'!$A$1:$V$301</definedName>
    <definedName name="_xlnm._FilterDatabase" localSheetId="5" hidden="1">'05_SERP_Evidence'!$A$1:$R$61</definedName>
    <definedName name="_xlnm._FilterDatabase" localSheetId="6" hidden="1">'06_Insights'!$A$1:$M$31</definedName>
    <definedName name="_xlnm._FilterDatabase" localSheetId="7" hidden="1">'07_Page_Map'!$A$1:$W$47</definedName>
    <definedName name="_xlnm._FilterDatabase" localSheetId="8" hidden="1">'08_Content_Briefs'!$A$1:$Q$21</definedName>
    <definedName name="_xlnm._FilterDatabase" localSheetId="9" hidden="1">'09_Search_Console'!$A$1:$R$61</definedName>
    <definedName name="_xlnm._FilterDatabase" localSheetId="10" hidden="1">'10_Outcomes'!$A$1:$N$36</definedName>
    <definedName name="_xlnm._FilterDatabase" localSheetId="11" hidden="1">'11_Exclusions'!$A$1:$G$7</definedName>
    <definedName name="_xlnm._FilterDatabase" localSheetId="12" hidden="1">'12_Decisions'!$A$1:$J$36</definedName>
    <definedName name="_xlnm._FilterDatabase" localSheetId="13" hidden="1">'13_Definitions'!$A$1:$B$18</definedName>
    <definedName name="_xlnm._FilterDatabase" localSheetId="14" hidden="1">'14_Sources'!$A$1:$D$11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10" l="1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2" i="8"/>
</calcChain>
</file>

<file path=xl/sharedStrings.xml><?xml version="1.0" encoding="utf-8"?>
<sst xmlns="http://schemas.openxmlformats.org/spreadsheetml/2006/main" count="2041" uniqueCount="514">
  <si>
    <t>Step</t>
  </si>
  <si>
    <t>What to fill</t>
  </si>
  <si>
    <t>Completion evidence</t>
  </si>
  <si>
    <t>Owner</t>
  </si>
  <si>
    <t>Status</t>
  </si>
  <si>
    <t>1. Access</t>
  </si>
  <si>
    <t>Search Console / Keyword Planner / Trends / profile</t>
  </si>
  <si>
    <t>Record account access and live deployment; no campaign required</t>
  </si>
  <si>
    <t>Camilo</t>
  </si>
  <si>
    <t>Not started</t>
  </si>
  <si>
    <t>2. Settings</t>
  </si>
  <si>
    <t>01_Markets</t>
  </si>
  <si>
    <t>Same reporting windows and network; separate countries</t>
  </si>
  <si>
    <t>3. Discovery</t>
  </si>
  <si>
    <t>03_Seeds + 04_Keyword_Data</t>
  </si>
  <si>
    <t>Import measured observations with run ID and raw filename</t>
  </si>
  <si>
    <t>4. Intent</t>
  </si>
  <si>
    <t>05_SERP_Evidence</t>
  </si>
  <si>
    <t>Dated organic URLs and buyer-task review</t>
  </si>
  <si>
    <t>5. Context</t>
  </si>
  <si>
    <t>06_Insights</t>
  </si>
  <si>
    <t>Trends settings and anonymized buyer language</t>
  </si>
  <si>
    <t>6. Decisions</t>
  </si>
  <si>
    <t>07_Page_Map</t>
  </si>
  <si>
    <t>One destination per cluster/market; hypotheses reviewed</t>
  </si>
  <si>
    <t>7. Production</t>
  </si>
  <si>
    <t>08_Content_Briefs</t>
  </si>
  <si>
    <t>Reviewed brief with actual proof and claims scope</t>
  </si>
  <si>
    <t>8. Measurement</t>
  </si>
  <si>
    <t>09_Search_Console + 10_Outcomes</t>
  </si>
  <si>
    <t>Record reporting windows and attribution limitations</t>
  </si>
  <si>
    <t>Read first</t>
  </si>
  <si>
    <t>START-HERE.md</t>
  </si>
  <si>
    <t>No volumes, rankings or competitors have been researched in accounts</t>
  </si>
  <si>
    <t>Reference</t>
  </si>
  <si>
    <t>Use inputs</t>
  </si>
  <si>
    <t>Blue text; blank means unknown</t>
  </si>
  <si>
    <t>Gray cells in Page Map calculate scores after validation</t>
  </si>
  <si>
    <t>Geography</t>
  </si>
  <si>
    <t>Cali base; CO/PE/MX services</t>
  </si>
  <si>
    <t>FX product/regulatory claims stay Colombia-specific</t>
  </si>
  <si>
    <t>Capacity</t>
  </si>
  <si>
    <t>First 300 rows styled for metrics; extend tables as needed</t>
  </si>
  <si>
    <t>Do not sort a single column independently; sort the full table</t>
  </si>
  <si>
    <t>Market ID</t>
  </si>
  <si>
    <t>Country</t>
  </si>
  <si>
    <t>Location scope</t>
  </si>
  <si>
    <t>Language</t>
  </si>
  <si>
    <t>Search network</t>
  </si>
  <si>
    <t>Reporting window</t>
  </si>
  <si>
    <t>Account currency</t>
  </si>
  <si>
    <t>Run ID</t>
  </si>
  <si>
    <t>Export date</t>
  </si>
  <si>
    <t>Notes</t>
  </si>
  <si>
    <t>CO_ES</t>
  </si>
  <si>
    <t>Colombia</t>
  </si>
  <si>
    <t>National</t>
  </si>
  <si>
    <t>Spanish</t>
  </si>
  <si>
    <t>Google</t>
  </si>
  <si>
    <t>Latest 12 complete months - enter dates</t>
  </si>
  <si>
    <t>Country service research</t>
  </si>
  <si>
    <t>PE_ES</t>
  </si>
  <si>
    <t>Peru</t>
  </si>
  <si>
    <t>Same exact dates as CO</t>
  </si>
  <si>
    <t>Service research only</t>
  </si>
  <si>
    <t>MX_ES</t>
  </si>
  <si>
    <t>Mexico</t>
  </si>
  <si>
    <t>CALI_ES</t>
  </si>
  <si>
    <t>Cali</t>
  </si>
  <si>
    <t>Same dates where available</t>
  </si>
  <si>
    <t>Overlaps Colombia - do not add national + Cali volume</t>
  </si>
  <si>
    <t>Page ID</t>
  </si>
  <si>
    <t>URL path</t>
  </si>
  <si>
    <t>Route status</t>
  </si>
  <si>
    <t>Buyer task</t>
  </si>
  <si>
    <t>Proposed action</t>
  </si>
  <si>
    <t>Market scope</t>
  </si>
  <si>
    <t>Live/index check date</t>
  </si>
  <si>
    <t>es_home</t>
  </si>
  <si>
    <t>/es</t>
  </si>
  <si>
    <t>es</t>
  </si>
  <si>
    <t>Implemented locally; verify live</t>
  </si>
  <si>
    <t>Company/brand</t>
  </si>
  <si>
    <t>Reuse or improve</t>
  </si>
  <si>
    <t>CO/PE/MX services</t>
  </si>
  <si>
    <t>es_services</t>
  </si>
  <si>
    <t>/es/services</t>
  </si>
  <si>
    <t>Service hub</t>
  </si>
  <si>
    <t>es_fx</t>
  </si>
  <si>
    <t>/es/currency-exchange</t>
  </si>
  <si>
    <t>Colombian exchange-house software</t>
  </si>
  <si>
    <t>Colombia product</t>
  </si>
  <si>
    <t>en_home</t>
  </si>
  <si>
    <t>/</t>
  </si>
  <si>
    <t>en</t>
  </si>
  <si>
    <t>en_services</t>
  </si>
  <si>
    <t>/services</t>
  </si>
  <si>
    <t>en_fx</t>
  </si>
  <si>
    <t>/currency-exchange</t>
  </si>
  <si>
    <t>es_software</t>
  </si>
  <si>
    <t>/es/services/desarrollo-software</t>
  </si>
  <si>
    <t>Proposed - not built</t>
  </si>
  <si>
    <t>Custom software</t>
  </si>
  <si>
    <t>Research before creating</t>
  </si>
  <si>
    <t>es_ai</t>
  </si>
  <si>
    <t>/es/services/inteligencia-artificial</t>
  </si>
  <si>
    <t>Applied AI</t>
  </si>
  <si>
    <t>es_automation</t>
  </si>
  <si>
    <t>/es/services/automatizacion</t>
  </si>
  <si>
    <t>Process automation</t>
  </si>
  <si>
    <t>es_integration</t>
  </si>
  <si>
    <t>/es/services/integraciones</t>
  </si>
  <si>
    <t>System integrations</t>
  </si>
  <si>
    <t>es_fx-closing</t>
  </si>
  <si>
    <t>/es/recursos/cierre-caja-casa-cambio</t>
  </si>
  <si>
    <t>Cash closing guide</t>
  </si>
  <si>
    <t>es_fx-rates</t>
  </si>
  <si>
    <t>/es/recursos/control-tasas-casa-cambio</t>
  </si>
  <si>
    <t>Rate review guide</t>
  </si>
  <si>
    <t>es_fx-reports</t>
  </si>
  <si>
    <t>/es/recursos/reportes-casas-cambio-colombia</t>
  </si>
  <si>
    <t>Reporting preparation guide</t>
  </si>
  <si>
    <t>Keyword ID</t>
  </si>
  <si>
    <t>Seed phrase</t>
  </si>
  <si>
    <t>Cluster ID</t>
  </si>
  <si>
    <t>Topic</t>
  </si>
  <si>
    <t>Origin</t>
  </si>
  <si>
    <t>K0001</t>
  </si>
  <si>
    <t>jokerlabs</t>
  </si>
  <si>
    <t>BRAND</t>
  </si>
  <si>
    <t>Brand/company</t>
  </si>
  <si>
    <t>Editorial seed</t>
  </si>
  <si>
    <t>Hypothesis</t>
  </si>
  <si>
    <t>Validate buyer task and observed results</t>
  </si>
  <si>
    <t>K0002</t>
  </si>
  <si>
    <t>jokerlabs.ai</t>
  </si>
  <si>
    <t>K0003</t>
  </si>
  <si>
    <t>K0004</t>
  </si>
  <si>
    <t>K0005</t>
  </si>
  <si>
    <t>K0006</t>
  </si>
  <si>
    <t>K0007</t>
  </si>
  <si>
    <t>desarrollo de software a medida</t>
  </si>
  <si>
    <t>SOFTWARE</t>
  </si>
  <si>
    <t>K0008</t>
  </si>
  <si>
    <t>empresa de desarrollo de software</t>
  </si>
  <si>
    <t>K0009</t>
  </si>
  <si>
    <t>desarrollo de software para empresas</t>
  </si>
  <si>
    <t>K0010</t>
  </si>
  <si>
    <t>software a medida para empresas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</si>
  <si>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</si>
  <si>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</si>
  <si>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</si>
  <si>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</si>
  <si>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</si>
  <si>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</si>
  <si>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</si>
  <si>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</si>
  <si>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</si>
  <si>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inteligencia artificial para empresas</t>
  </si>
  <si>
    <t>AI</t>
  </si>
  <si>
    <t>K0020</t>
  </si>
  <si>
    <t>empresa de inteligencia artificial</t>
  </si>
  <si>
    <t>K0021</t>
  </si>
  <si>
    <t>soluciones de inteligencia artificial</t>
  </si>
  <si>
    <t>K0022</t>
  </si>
  <si>
    <t>desarrollo de agentes de inteligencia artificial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</si>
  <si>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</si>
  <si>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</si>
  <si>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</si>
  <si>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</si>
  <si>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</si>
  <si>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</si>
  <si>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</si>
  <si>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</si>
  <si>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</si>
  <si>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automatización de procesos empresariales</t>
  </si>
  <si>
    <t>AUTOMATION</t>
  </si>
  <si>
    <t>K0032</t>
  </si>
  <si>
    <t>automatización para empresas</t>
  </si>
  <si>
    <t>K0033</t>
  </si>
  <si>
    <t>automatización de procesos administrativos</t>
  </si>
  <si>
    <t>K0034</t>
  </si>
  <si>
    <t>empresa de automatización de procesos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</si>
  <si>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</si>
  <si>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</si>
  <si>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</si>
  <si>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</si>
  <si>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</si>
  <si>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</si>
  <si>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</si>
  <si>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</si>
  <si>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</si>
  <si>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integración de sistemas empresariales</t>
  </si>
  <si>
    <t>INTEGRATION</t>
  </si>
  <si>
    <t>K0044</t>
  </si>
  <si>
    <t>integración de APIs</t>
  </si>
  <si>
    <t>K0045</t>
  </si>
  <si>
    <t>integración de software empresarial</t>
  </si>
  <si>
    <t>K0046</t>
  </si>
  <si>
    <t>K0047</t>
  </si>
  <si>
    <t>K0048</t>
  </si>
  <si>
    <t>K0049</t>
  </si>
  <si>
    <t>K0050</t>
  </si>
  <si>
    <t>K0051</t>
  </si>
  <si>
    <t>K0052</t>
  </si>
  <si>
    <t>desarrollo de software en Cali</t>
  </si>
  <si>
    <t>LOCAL</t>
  </si>
  <si>
    <t>Local software service</t>
  </si>
  <si>
    <t>K0053</t>
  </si>
  <si>
    <t>empresa de software en Cali</t>
  </si>
  <si>
    <t>K0054</t>
  </si>
  <si>
    <t>inteligencia artificial para empresas Cali</t>
  </si>
  <si>
    <t>K0055</t>
  </si>
  <si>
    <t>Colombia (Cali targeting)</t>
  </si>
  <si>
    <t>K0056</t>
  </si>
  <si>
    <t>K0057</t>
  </si>
  <si>
    <t>K0058</t>
  </si>
  <si>
    <t>software para casas de cambio</t>
  </si>
  <si>
    <t>FX-BUY</t>
  </si>
  <si>
    <t>FX software purchase</t>
  </si>
  <si>
    <t>K0059</t>
  </si>
  <si>
    <t>sistema para casas de cambio Colombia</t>
  </si>
  <si>
    <t>K0060</t>
  </si>
  <si>
    <t>programa para casas de cambio</t>
  </si>
  <si>
    <t>K0061</t>
  </si>
  <si>
    <t>software de compra y venta de divisas</t>
  </si>
  <si>
    <t>K0062</t>
  </si>
  <si>
    <t>cómo hacer arqueo de caja en casa de cambio</t>
  </si>
  <si>
    <t>FX-CASH</t>
  </si>
  <si>
    <t>FX closing problem</t>
  </si>
  <si>
    <t>K0063</t>
  </si>
  <si>
    <t>control de caja para casas de cambio</t>
  </si>
  <si>
    <t>K0064</t>
  </si>
  <si>
    <t>diferencias de caja en divisas</t>
  </si>
  <si>
    <t>K0065</t>
  </si>
  <si>
    <t>control de tasas en casas de cambio</t>
  </si>
  <si>
    <t>FX-RATES</t>
  </si>
  <si>
    <t>FX rate review</t>
  </si>
  <si>
    <t>K0066</t>
  </si>
  <si>
    <t>historial de tasas compra venta divisas</t>
  </si>
  <si>
    <t>K0067</t>
  </si>
  <si>
    <t>software reportes DIAN casas de cambio</t>
  </si>
  <si>
    <t>FX-REPORT</t>
  </si>
  <si>
    <t>FX report preparation</t>
  </si>
  <si>
    <t>K0068</t>
  </si>
  <si>
    <t>reportes UIAF casas de cambio</t>
  </si>
  <si>
    <t>K0069</t>
  </si>
  <si>
    <t>formato 1099 casas de cambio</t>
  </si>
  <si>
    <t>K0070</t>
  </si>
  <si>
    <t>formato 1100 casas de cambio</t>
  </si>
  <si>
    <t>Keyword as exported</t>
  </si>
  <si>
    <t>Country/scope</t>
  </si>
  <si>
    <t>Source/tool</t>
  </si>
  <si>
    <t>Search volume as displayed</t>
  </si>
  <si>
    <t>Numeric lower bound</t>
  </si>
  <si>
    <t>Numeric upper bound</t>
  </si>
  <si>
    <t>Monthly pattern notes</t>
  </si>
  <si>
    <t>Ads competition</t>
  </si>
  <si>
    <t>Top bid low</t>
  </si>
  <si>
    <t>Top bid high</t>
  </si>
  <si>
    <t>Currency</t>
  </si>
  <si>
    <t>Network</t>
  </si>
  <si>
    <t>Extracted date</t>
  </si>
  <si>
    <t>Raw export file</t>
  </si>
  <si>
    <t>Evidence status</t>
  </si>
  <si>
    <t>Editorial seed - not measured</t>
  </si>
  <si>
    <t>Evidence ID</t>
  </si>
  <si>
    <t>Query</t>
  </si>
  <si>
    <t>Check date</t>
  </si>
  <si>
    <t>Actual/approx location</t>
  </si>
  <si>
    <t>Device</t>
  </si>
  <si>
    <t>Personalization notes</t>
  </si>
  <si>
    <t>Result type</t>
  </si>
  <si>
    <t>Organic position</t>
  </si>
  <si>
    <t>Result URL</t>
  </si>
  <si>
    <t>Page format</t>
  </si>
  <si>
    <t>Observed buyer task</t>
  </si>
  <si>
    <t>Proof or gap</t>
  </si>
  <si>
    <t>Screenshot/export path</t>
  </si>
  <si>
    <t>Researcher</t>
  </si>
  <si>
    <t>Insight ID</t>
  </si>
  <si>
    <t>Type (Trends/interview)</t>
  </si>
  <si>
    <t>Date</t>
  </si>
  <si>
    <t>Term vs topic</t>
  </si>
  <si>
    <t>Terms compared</t>
  </si>
  <si>
    <t>Time window/category/search type</t>
  </si>
  <si>
    <t>Observed relative pattern or buyer phrase</t>
  </si>
  <si>
    <t>Data limitation</t>
  </si>
  <si>
    <t>Export/view URL</t>
  </si>
  <si>
    <t>Implication for page</t>
  </si>
  <si>
    <t>Map ID</t>
  </si>
  <si>
    <t>Primary phrase hypothesis</t>
  </si>
  <si>
    <t>Related phrases</t>
  </si>
  <si>
    <t>Observed intent / buyer task</t>
  </si>
  <si>
    <t>Target URL</t>
  </si>
  <si>
    <t>Page action</t>
  </si>
  <si>
    <t>Keyword evidence IDs</t>
  </si>
  <si>
    <t>SERP evidence IDs</t>
  </si>
  <si>
    <t>Business fit 0-5</t>
  </si>
  <si>
    <t>Buyer intent 0-5</t>
  </si>
  <si>
    <t>Organic feasibility 0-5</t>
  </si>
  <si>
    <t>Evidence strength 0-5</t>
  </si>
  <si>
    <t>Priority score 0-100</t>
  </si>
  <si>
    <t>Priority rationale</t>
  </si>
  <si>
    <t>Conversion action</t>
  </si>
  <si>
    <t>Decision date</t>
  </si>
  <si>
    <t>Next action</t>
  </si>
  <si>
    <t>BRAND_CO_ES</t>
  </si>
  <si>
    <t>Buyer task hypothesis - inspect SERPs</t>
  </si>
  <si>
    <t>Existing local route</t>
  </si>
  <si>
    <t>Reuse</t>
  </si>
  <si>
    <t>Company inquiry</t>
  </si>
  <si>
    <t>BRAND_PE_ES</t>
  </si>
  <si>
    <t>BRAND_MX_ES</t>
  </si>
  <si>
    <t>SOFTWARE_CO_ES</t>
  </si>
  <si>
    <t>empresa de desarrollo de software; desarrollo de software para empresas; software a medida para empresas</t>
  </si>
  <si>
    <t>Evaluate split</t>
  </si>
  <si>
    <t>Project inquiry</t>
  </si>
  <si>
    <t>SOFTWARE_PE_ES</t>
  </si>
  <si>
    <t>SOFTWARE_MX_ES</t>
  </si>
  <si>
    <t>AI_CO_ES</t>
  </si>
  <si>
    <t>empresa de inteligencia artificial; soluciones de inteligencia artificial; desarrollo de agentes de inteligencia artificial</t>
  </si>
  <si>
    <t>AI_PE_ES</t>
  </si>
  <si>
    <t>AI_MX_ES</t>
  </si>
  <si>
    <t>AUTOMATION_CO_ES</t>
  </si>
  <si>
    <t>automatización para empresas; automatización de procesos administrativos; empresa de automatización de procesos</t>
  </si>
  <si>
    <t>AUTOMATION_PE_ES</t>
  </si>
  <si>
    <t>AUTOMATION_MX_ES</t>
  </si>
  <si>
    <t>INTEGRATION_CO_ES</t>
  </si>
  <si>
    <t>integración de APIs; integración de software empresarial</t>
  </si>
  <si>
    <t>INTEGRATION_PE_ES</t>
  </si>
  <si>
    <t>INTEGRATION_MX_ES</t>
  </si>
  <si>
    <t>LOCAL_CO_ES</t>
  </si>
  <si>
    <t>empresa de software en Cali; inteligencia artificial para empresas Cali</t>
  </si>
  <si>
    <t>Improve</t>
  </si>
  <si>
    <t>LOCAL_CALI_ES</t>
  </si>
  <si>
    <t>FX-BUY_CO_ES</t>
  </si>
  <si>
    <t>sistema para casas de cambio Colombia; programa para casas de cambio; software de compra y venta de divisas</t>
  </si>
  <si>
    <t>Product demo</t>
  </si>
  <si>
    <t>FX-CASH_CO_ES</t>
  </si>
  <si>
    <t>control de caja para casas de cambio; diferencias de caja en divisas</t>
  </si>
  <si>
    <t>Proposed</t>
  </si>
  <si>
    <t>Research new guide</t>
  </si>
  <si>
    <t>FX-RATES_CO_ES</t>
  </si>
  <si>
    <t>FX-REPORT_CO_ES</t>
  </si>
  <si>
    <t>reportes UIAF casas de cambio; formato 1099 casas de cambio; formato 1100 casas de cambio</t>
  </si>
  <si>
    <t>Evaluate supporting guide</t>
  </si>
  <si>
    <t>Brief ID</t>
  </si>
  <si>
    <t>Map IDs</t>
  </si>
  <si>
    <t>Buyer and task</t>
  </si>
  <si>
    <t>Primary/related query evidence</t>
  </si>
  <si>
    <t>Title proposal</t>
  </si>
  <si>
    <t>H1 proposal</t>
  </si>
  <si>
    <t>Distinct evidence/examples</t>
  </si>
  <si>
    <t>Outline</t>
  </si>
  <si>
    <t>Internal links in/out</t>
  </si>
  <si>
    <t>CTA</t>
  </si>
  <si>
    <t>Claim boundaries</t>
  </si>
  <si>
    <t>Reviewer</t>
  </si>
  <si>
    <t>Publish date</t>
  </si>
  <si>
    <t>BRIEF_FX</t>
  </si>
  <si>
    <t>Owner evaluating exchange-house software</t>
  </si>
  <si>
    <t>Pending research</t>
  </si>
  <si>
    <t>Closing difference; rate changes; receipt; read-only access</t>
  </si>
  <si>
    <t>/es/services; relevant future guides</t>
  </si>
  <si>
    <t>Request a product demo</t>
  </si>
  <si>
    <t>Colombia reporting; human review; no available AI/invoicing claim</t>
  </si>
  <si>
    <t>Research pending</t>
  </si>
  <si>
    <t>BRIEF_SOFTWARE</t>
  </si>
  <si>
    <t>SOFTWARE_CO_ES;SOFTWARE_PE_ES;SOFTWARE_MX_ES</t>
  </si>
  <si>
    <t>Business buying custom software</t>
  </si>
  <si>
    <t>Use verified project scope and authorized examples</t>
  </si>
  <si>
    <t>/es/services; relevant product evidence</t>
  </si>
  <si>
    <t>Request a project conversation</t>
  </si>
  <si>
    <t>Cali base; CO/PE/MX coverage; no foreign office claim</t>
  </si>
  <si>
    <t>Observation ID</t>
  </si>
  <si>
    <t>Extract date</t>
  </si>
  <si>
    <t>Period start</t>
  </si>
  <si>
    <t>Period end</t>
  </si>
  <si>
    <t>Comparison period</t>
  </si>
  <si>
    <t>Search type</t>
  </si>
  <si>
    <t>Country filter</t>
  </si>
  <si>
    <t>Device filter</t>
  </si>
  <si>
    <t>Query filter</t>
  </si>
  <si>
    <t>Page filter</t>
  </si>
  <si>
    <t>Reported query</t>
  </si>
  <si>
    <t>Reported canonical page</t>
  </si>
  <si>
    <t>Clicks</t>
  </si>
  <si>
    <t>Impressions</t>
  </si>
  <si>
    <t>CTR calculated</t>
  </si>
  <si>
    <t>Average position</t>
  </si>
  <si>
    <t>Landing URL</t>
  </si>
  <si>
    <t>Market/country</t>
  </si>
  <si>
    <t>Source/medium</t>
  </si>
  <si>
    <t>Analytics/CRM export</t>
  </si>
  <si>
    <t>Attribution definition</t>
  </si>
  <si>
    <t>Organic landing sessions</t>
  </si>
  <si>
    <t>Inquiries</t>
  </si>
  <si>
    <t>Qualified leads</t>
  </si>
  <si>
    <t>Opportunities</t>
  </si>
  <si>
    <t>Paid outcomes</t>
  </si>
  <si>
    <t>Consent/attribution caveats</t>
  </si>
  <si>
    <t>Decision</t>
  </si>
  <si>
    <t>Phrase/pattern</t>
  </si>
  <si>
    <t>Observed intent to check</t>
  </si>
  <si>
    <t>Suggested treatment</t>
  </si>
  <si>
    <t>Scope</t>
  </si>
  <si>
    <t>Reason/exception</t>
  </si>
  <si>
    <t>empleo / vacantes / salario</t>
  </si>
  <si>
    <t>Job seeker</t>
  </si>
  <si>
    <t>Exclude from acquisition targets</t>
  </si>
  <si>
    <t>Candidate only - not automatic ad negative</t>
  </si>
  <si>
    <t>A careers page can still legitimately address this intent</t>
  </si>
  <si>
    <t>curso / tutorial / qué es</t>
  </si>
  <si>
    <t>Learning</t>
  </si>
  <si>
    <t>Evaluate separately</t>
  </si>
  <si>
    <t>Editorial review</t>
  </si>
  <si>
    <t>Educational content can support a buyer; do not reject all informational queries</t>
  </si>
  <si>
    <t>dólar hoy / cambio cerca de mí</t>
  </si>
  <si>
    <t>Consumer exchanging money</t>
  </si>
  <si>
    <t>Reject for software purchase targeting</t>
  </si>
  <si>
    <t>Product acquisition</t>
  </si>
  <si>
    <t>Check actual results; JokerLabs sells software, not consumer FX trades</t>
  </si>
  <si>
    <t>software gratis</t>
  </si>
  <si>
    <t>Free tool seeker</t>
  </si>
  <si>
    <t>Qualify / lower priority</t>
  </si>
  <si>
    <t>Comparison intent may still inform a purchase; inspect SERPs</t>
  </si>
  <si>
    <t>facturación electrónica disponible / asistente IA disponible</t>
  </si>
  <si>
    <t>Feature unavailable in FX product</t>
  </si>
  <si>
    <t>Hold availability claims</t>
  </si>
  <si>
    <t>Currency Exchange</t>
  </si>
  <si>
    <t>Do not market planned functionality as current</t>
  </si>
  <si>
    <t>software casas de cambio Perú / México</t>
  </si>
  <si>
    <t>Foreign FX product fit</t>
  </si>
  <si>
    <t>Hold pending product validation</t>
  </si>
  <si>
    <t>Services coverage does not establish foreign regulatory/product readiness</t>
  </si>
  <si>
    <t>Map/brief ID</t>
  </si>
  <si>
    <t>Evidence IDs</t>
  </si>
  <si>
    <t>Old URL / prior hypothesis</t>
  </si>
  <si>
    <t>New URL / next action</t>
  </si>
  <si>
    <t>Redirect/canonical needs</t>
  </si>
  <si>
    <t>Review date</t>
  </si>
  <si>
    <t>Observed outcome</t>
  </si>
  <si>
    <t>Field / concept</t>
  </si>
  <si>
    <t>How to fill / interpret</t>
  </si>
  <si>
    <t>Unknown</t>
  </si>
  <si>
    <t>Leave metric blank; record unavailable reason. Do not enter invented zero.</t>
  </si>
  <si>
    <t>Editorial seed or proposed page with no validated demand/intent evidence.</t>
  </si>
  <si>
    <t>Validated</t>
  </si>
  <si>
    <t>Researcher links dated source observations plus SERP review; missing metrics explained for niches.</t>
  </si>
  <si>
    <t>Volume displayed</t>
  </si>
  <si>
    <t>Preserve exact estimate/range and settings; close variants may share estimates.</t>
  </si>
  <si>
    <t>Keyword Planner advertiser competition; never organic SEO difficulty.</t>
  </si>
  <si>
    <t>Organic feasibility</t>
  </si>
  <si>
    <t>Internal 0-5 judgment about intent, page format and credible proof; rationale required.</t>
  </si>
  <si>
    <t>Priority score</t>
  </si>
  <si>
    <t>20*(.4*fit+.3*intent+.2*feasibility+.1*evidence). Blank until four ratings + Validated.</t>
  </si>
  <si>
    <t>Score bands</t>
  </si>
  <si>
    <t>80-100 first review; 60-79 second review; &lt;60 hold/rework. Not ranking predictions.</t>
  </si>
  <si>
    <t>Trends</t>
  </si>
  <si>
    <t>Relative interest in a comparison context; not absolute volume or comparable isolated scores.</t>
  </si>
  <si>
    <t>CTR</t>
  </si>
  <si>
    <t>Clicks/impressions for the same GSC row/settings. Blank if data missing or impressions zero.</t>
  </si>
  <si>
    <t>Query-to-page evidence</t>
  </si>
  <si>
    <t>Use query-filtered Pages or page-filtered Queries export; do not join unrelated aggregates.</t>
  </si>
  <si>
    <t>Qualified lead</t>
  </si>
  <si>
    <t>Agree business definition: target buyer, relevant need, delivery fit, realistic next step.</t>
  </si>
  <si>
    <t>Page map row grain</t>
  </si>
  <si>
    <t>One cluster + market + language. Multiple markets may deliberately share a URL.</t>
  </si>
  <si>
    <t>Metrics row grain</t>
  </si>
  <si>
    <t>One exported phrase + run/settings + reporting window. Do not mix observations.</t>
  </si>
  <si>
    <t>Local status</t>
  </si>
  <si>
    <t>Implemented locally is not deployed/indexed. Proposed URL is not an available page.</t>
  </si>
  <si>
    <t>Formula behavior</t>
  </si>
  <si>
    <t>Formulas recalculate in Excel/Sheets. CSV companions do not carry formulas/dropdowns/styles.</t>
  </si>
  <si>
    <t>Data handling</t>
  </si>
  <si>
    <t>Use anonymized buyer observations. No passwords, customer records or individual lead PII.</t>
  </si>
  <si>
    <t>Source</t>
  </si>
  <si>
    <t>URL / reference</t>
  </si>
  <si>
    <t>Use</t>
  </si>
  <si>
    <t>Reviewed date</t>
  </si>
  <si>
    <t>Keyword Planner workflow</t>
  </si>
  <si>
    <t>https://support.google.com/google-ads/answer/7337243</t>
  </si>
  <si>
    <t>Discovery and historical metrics; account setup</t>
  </si>
  <si>
    <t>2026-10-15</t>
  </si>
  <si>
    <t>Planner metric definitions</t>
  </si>
  <si>
    <t>https://support.google.com/google-ads/answer/3022575</t>
  </si>
  <si>
    <t>Estimates; advertisers; close variants; settings</t>
  </si>
  <si>
    <t>Planner filters</t>
  </si>
  <si>
    <t>https://support.google.com/google-ads/answer/6325025</t>
  </si>
  <si>
    <t>Location/language/network and filters</t>
  </si>
  <si>
    <t>Trends methodology</t>
  </si>
  <si>
    <t>https://support.google.com/trends/answer/4365533</t>
  </si>
  <si>
    <t>Normalized relative interest and low-volume limits</t>
  </si>
  <si>
    <t>Search Console dimensions</t>
  </si>
  <si>
    <t>https://support.google.com/webmasters/answer/17011259</t>
  </si>
  <si>
    <t>Query privacy, canonical attribution and limits</t>
  </si>
  <si>
    <t>Search Console report</t>
  </si>
  <si>
    <t>https://support.google.com/webmasters/answer/7576553</t>
  </si>
  <si>
    <t>Performance metrics, filters and export</t>
  </si>
  <si>
    <t>Search spam policies</t>
  </si>
  <si>
    <t>https://developers.google.com/search/docs/essentials/spam-policies</t>
  </si>
  <si>
    <t>Doorway pages and scaled content</t>
  </si>
  <si>
    <t>Local ranking</t>
  </si>
  <si>
    <t>https://support.google.com/business/answer/7091</t>
  </si>
  <si>
    <t>Profile accuracy; relevance/distance/prominence</t>
  </si>
  <si>
    <t>SEO local implementation</t>
  </si>
  <si>
    <t>../../seo.md</t>
  </si>
  <si>
    <t>Routes, metadata and deployment tasks</t>
  </si>
  <si>
    <t>Product evidence</t>
  </si>
  <si>
    <t>../../currency-exchange-cmo-review.md</t>
  </si>
  <si>
    <t>Current capabilities and claim boundaries</t>
  </si>
  <si>
    <t>COP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</si>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</sst>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45DAD"/>
      <name val="Calibri"/>
      <family val="2"/>
    </font>
    <font>
      <sz val="11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164" fontId="3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E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5" customWidth="1"/>
    <col min="3" max="3" width="42" customWidth="1"/>
    <col min="4" max="5" width="25" customWidth="1"/>
  </cols>
  <sheetData>
    <row r="1" spans="1:5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" customHeight="1" x14ac:dyDescent="0.2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58" customHeight="1" x14ac:dyDescent="0.2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58" customHeight="1" x14ac:dyDescent="0.2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ht="58" customHeight="1" x14ac:dyDescent="0.2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ht="58" customHeight="1" x14ac:dyDescent="0.2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ht="58" customHeight="1" x14ac:dyDescent="0.2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ht="58" customHeight="1" x14ac:dyDescent="0.2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ht="58" customHeight="1" x14ac:dyDescent="0.2">
      <c r="A10" s="2" t="s">
        <v>31</v>
      </c>
      <c r="B10" s="2" t="s">
        <v>32</v>
      </c>
      <c r="C10" s="2" t="s">
        <v>33</v>
      </c>
      <c r="D10" s="2"/>
      <c r="E10" s="2" t="s">
        <v>34</v>
      </c>
    </row>
    <row r="11" spans="1:5" ht="58" customHeight="1" x14ac:dyDescent="0.2">
      <c r="A11" s="2" t="s">
        <v>35</v>
      </c>
      <c r="B11" s="2" t="s">
        <v>36</v>
      </c>
      <c r="C11" s="2" t="s">
        <v>37</v>
      </c>
      <c r="D11" s="2"/>
      <c r="E11" s="2" t="s">
        <v>34</v>
      </c>
    </row>
    <row r="12" spans="1:5" ht="58" customHeight="1" x14ac:dyDescent="0.2">
      <c r="A12" s="2" t="s">
        <v>38</v>
      </c>
      <c r="B12" s="2" t="s">
        <v>39</v>
      </c>
      <c r="C12" s="2" t="s">
        <v>40</v>
      </c>
      <c r="D12" s="2"/>
      <c r="E12" s="2" t="s">
        <v>34</v>
      </c>
    </row>
    <row r="13" spans="1:5" ht="58" customHeight="1" x14ac:dyDescent="0.2">
      <c r="A13" s="2" t="s">
        <v>41</v>
      </c>
      <c r="B13" s="2" t="s">
        <v>42</v>
      </c>
      <c r="C13" s="2" t="s">
        <v>43</v>
      </c>
      <c r="D13" s="2"/>
      <c r="E13" s="2" t="s">
        <v>34</v>
      </c>
    </row>
  </sheetData>
  <autoFilter ref="A1:E13" xr:uid="{00000000-0009-0000-0000-000000000000}"/>
  <dataValidations count="1">
    <dataValidation type="list" allowBlank="1" showErrorMessage="1" errorTitle="Choose a listed value" error="Use the dropdown or leave blank." sqref="E2:E501" xr:uid="{00000000-0002-0000-0000-000000000000}">
      <formula1>"Not started,In progress,Complete,Blocked,Reference"</formula1>
    </dataValidation>
  </dataValidations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K13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I2" sqref="I2"/>
    </sheetView>
  </sheetViews>
  <sheetFormatPr baseColWidth="10" defaultColWidth="8.83203125" defaultRowHeight="15" x14ac:dyDescent="0.2"/>
  <cols>
    <col min="1" max="10" width="25" customWidth="1"/>
    <col min="11" max="11" width="42" customWidth="1"/>
  </cols>
  <sheetData>
    <row r="1" spans="1:11" ht="42" customHeight="1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3</v>
      </c>
      <c r="K1" s="1" t="s">
        <v>53</v>
      </c>
    </row>
    <row r="2" spans="1:11" ht="58" customHeight="1" x14ac:dyDescent="0.2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512</v>
      </c>
      <c r="H2" s="2"/>
      <c r="I2" s="2"/>
      <c r="J2" s="2" t="s">
        <v>8</v>
      </c>
      <c r="K2" s="2" t="s">
        <v>60</v>
      </c>
    </row>
    <row r="3" spans="1:11" ht="58" customHeight="1" x14ac:dyDescent="0.2">
      <c r="A3" s="2" t="s">
        <v>61</v>
      </c>
      <c r="B3" s="2" t="s">
        <v>62</v>
      </c>
      <c r="C3" s="2" t="s">
        <v>56</v>
      </c>
      <c r="D3" s="2" t="s">
        <v>57</v>
      </c>
      <c r="E3" s="2" t="s">
        <v>58</v>
      </c>
      <c r="F3" s="2" t="s">
        <v>63</v>
      </c>
      <c r="G3" s="2" t="s">
        <v>513</v>
      </c>
      <c r="H3" s="2"/>
      <c r="I3" s="2"/>
      <c r="J3" s="2" t="s">
        <v>8</v>
      </c>
      <c r="K3" s="2" t="s">
        <v>64</v>
      </c>
    </row>
    <row r="4" spans="1:11" ht="58" customHeight="1" x14ac:dyDescent="0.2">
      <c r="A4" s="2" t="s">
        <v>65</v>
      </c>
      <c r="B4" s="2" t="s">
        <v>66</v>
      </c>
      <c r="C4" s="2" t="s">
        <v>56</v>
      </c>
      <c r="D4" s="2" t="s">
        <v>57</v>
      </c>
      <c r="E4" s="2" t="s">
        <v>58</v>
      </c>
      <c r="F4" s="2" t="s">
        <v>63</v>
      </c>
      <c r="G4" s="2" t="s">
        <v>513</v>
      </c>
      <c r="H4" s="2"/>
      <c r="I4" s="2"/>
      <c r="J4" s="2" t="s">
        <v>8</v>
      </c>
      <c r="K4" s="2" t="s">
        <v>64</v>
      </c>
    </row>
    <row r="5" spans="1:11" ht="58" customHeight="1" x14ac:dyDescent="0.2">
      <c r="A5" s="2" t="s">
        <v>67</v>
      </c>
      <c r="B5" s="2" t="s">
        <v>55</v>
      </c>
      <c r="C5" s="2" t="s">
        <v>68</v>
      </c>
      <c r="D5" s="2" t="s">
        <v>57</v>
      </c>
      <c r="E5" s="2" t="s">
        <v>58</v>
      </c>
      <c r="F5" s="2" t="s">
        <v>69</v>
      </c>
      <c r="G5" s="2" t="s">
        <v>512</v>
      </c>
      <c r="H5" s="2"/>
      <c r="I5" s="2"/>
      <c r="J5" s="2" t="s">
        <v>8</v>
      </c>
      <c r="K5" s="2" t="s">
        <v>70</v>
      </c>
    </row>
    <row r="6" spans="1:11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autoFilter ref="A1:K13" xr:uid="{00000000-0009-0000-0000-000001000000}"/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  <pageSetUpPr fitToPage="1"/>
  </sheetPr>
  <dimension ref="A1:J2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H2" sqref="H2"/>
    </sheetView>
  </sheetViews>
  <sheetFormatPr baseColWidth="10" defaultColWidth="8.83203125" defaultRowHeight="15" x14ac:dyDescent="0.2"/>
  <cols>
    <col min="1" max="9" width="25" customWidth="1"/>
    <col min="10" max="10" width="42" customWidth="1"/>
  </cols>
  <sheetData>
    <row r="1" spans="1:10" ht="42" customHeight="1" x14ac:dyDescent="0.2">
      <c r="A1" s="1" t="s">
        <v>71</v>
      </c>
      <c r="B1" s="1" t="s">
        <v>72</v>
      </c>
      <c r="C1" s="1" t="s">
        <v>47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53</v>
      </c>
    </row>
    <row r="2" spans="1:10" ht="58" customHeight="1" x14ac:dyDescent="0.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/>
      <c r="I2" s="2" t="s">
        <v>8</v>
      </c>
      <c r="J2" s="2"/>
    </row>
    <row r="3" spans="1:10" ht="58" customHeight="1" x14ac:dyDescent="0.2">
      <c r="A3" s="2" t="s">
        <v>85</v>
      </c>
      <c r="B3" s="2" t="s">
        <v>86</v>
      </c>
      <c r="C3" s="2" t="s">
        <v>80</v>
      </c>
      <c r="D3" s="2" t="s">
        <v>81</v>
      </c>
      <c r="E3" s="2" t="s">
        <v>87</v>
      </c>
      <c r="F3" s="2" t="s">
        <v>83</v>
      </c>
      <c r="G3" s="2" t="s">
        <v>84</v>
      </c>
      <c r="H3" s="2"/>
      <c r="I3" s="2" t="s">
        <v>8</v>
      </c>
      <c r="J3" s="2"/>
    </row>
    <row r="4" spans="1:10" ht="58" customHeight="1" x14ac:dyDescent="0.2">
      <c r="A4" s="2" t="s">
        <v>88</v>
      </c>
      <c r="B4" s="2" t="s">
        <v>89</v>
      </c>
      <c r="C4" s="2" t="s">
        <v>80</v>
      </c>
      <c r="D4" s="2" t="s">
        <v>81</v>
      </c>
      <c r="E4" s="2" t="s">
        <v>90</v>
      </c>
      <c r="F4" s="2" t="s">
        <v>83</v>
      </c>
      <c r="G4" s="2" t="s">
        <v>91</v>
      </c>
      <c r="H4" s="2"/>
      <c r="I4" s="2" t="s">
        <v>8</v>
      </c>
      <c r="J4" s="2"/>
    </row>
    <row r="5" spans="1:10" ht="58" customHeight="1" x14ac:dyDescent="0.2">
      <c r="A5" s="2" t="s">
        <v>92</v>
      </c>
      <c r="B5" s="2" t="s">
        <v>93</v>
      </c>
      <c r="C5" s="2" t="s">
        <v>94</v>
      </c>
      <c r="D5" s="2" t="s">
        <v>81</v>
      </c>
      <c r="E5" s="2" t="s">
        <v>82</v>
      </c>
      <c r="F5" s="2" t="s">
        <v>83</v>
      </c>
      <c r="G5" s="2" t="s">
        <v>84</v>
      </c>
      <c r="H5" s="2"/>
      <c r="I5" s="2" t="s">
        <v>8</v>
      </c>
      <c r="J5" s="2"/>
    </row>
    <row r="6" spans="1:10" ht="58" customHeight="1" x14ac:dyDescent="0.2">
      <c r="A6" s="2" t="s">
        <v>95</v>
      </c>
      <c r="B6" s="2" t="s">
        <v>96</v>
      </c>
      <c r="C6" s="2" t="s">
        <v>94</v>
      </c>
      <c r="D6" s="2" t="s">
        <v>81</v>
      </c>
      <c r="E6" s="2" t="s">
        <v>87</v>
      </c>
      <c r="F6" s="2" t="s">
        <v>83</v>
      </c>
      <c r="G6" s="2" t="s">
        <v>84</v>
      </c>
      <c r="H6" s="2"/>
      <c r="I6" s="2" t="s">
        <v>8</v>
      </c>
      <c r="J6" s="2"/>
    </row>
    <row r="7" spans="1:10" ht="58" customHeight="1" x14ac:dyDescent="0.2">
      <c r="A7" s="2" t="s">
        <v>97</v>
      </c>
      <c r="B7" s="2" t="s">
        <v>98</v>
      </c>
      <c r="C7" s="2" t="s">
        <v>94</v>
      </c>
      <c r="D7" s="2" t="s">
        <v>81</v>
      </c>
      <c r="E7" s="2" t="s">
        <v>90</v>
      </c>
      <c r="F7" s="2" t="s">
        <v>83</v>
      </c>
      <c r="G7" s="2" t="s">
        <v>91</v>
      </c>
      <c r="H7" s="2"/>
      <c r="I7" s="2" t="s">
        <v>8</v>
      </c>
      <c r="J7" s="2"/>
    </row>
    <row r="8" spans="1:10" ht="58" customHeight="1" x14ac:dyDescent="0.2">
      <c r="A8" s="2" t="s">
        <v>99</v>
      </c>
      <c r="B8" s="2" t="s">
        <v>100</v>
      </c>
      <c r="C8" s="2" t="s">
        <v>80</v>
      </c>
      <c r="D8" s="2" t="s">
        <v>101</v>
      </c>
      <c r="E8" s="2" t="s">
        <v>102</v>
      </c>
      <c r="F8" s="2" t="s">
        <v>103</v>
      </c>
      <c r="G8" s="2" t="s">
        <v>84</v>
      </c>
      <c r="H8" s="2"/>
      <c r="I8" s="2" t="s">
        <v>8</v>
      </c>
      <c r="J8" s="2"/>
    </row>
    <row r="9" spans="1:10" ht="58" customHeight="1" x14ac:dyDescent="0.2">
      <c r="A9" s="2" t="s">
        <v>104</v>
      </c>
      <c r="B9" s="2" t="s">
        <v>105</v>
      </c>
      <c r="C9" s="2" t="s">
        <v>80</v>
      </c>
      <c r="D9" s="2" t="s">
        <v>101</v>
      </c>
      <c r="E9" s="2" t="s">
        <v>106</v>
      </c>
      <c r="F9" s="2" t="s">
        <v>103</v>
      </c>
      <c r="G9" s="2" t="s">
        <v>84</v>
      </c>
      <c r="H9" s="2"/>
      <c r="I9" s="2" t="s">
        <v>8</v>
      </c>
      <c r="J9" s="2"/>
    </row>
    <row r="10" spans="1:10" ht="58" customHeight="1" x14ac:dyDescent="0.2">
      <c r="A10" s="2" t="s">
        <v>107</v>
      </c>
      <c r="B10" s="2" t="s">
        <v>108</v>
      </c>
      <c r="C10" s="2" t="s">
        <v>80</v>
      </c>
      <c r="D10" s="2" t="s">
        <v>101</v>
      </c>
      <c r="E10" s="2" t="s">
        <v>109</v>
      </c>
      <c r="F10" s="2" t="s">
        <v>103</v>
      </c>
      <c r="G10" s="2" t="s">
        <v>84</v>
      </c>
      <c r="H10" s="2"/>
      <c r="I10" s="2" t="s">
        <v>8</v>
      </c>
      <c r="J10" s="2"/>
    </row>
    <row r="11" spans="1:10" ht="58" customHeight="1" x14ac:dyDescent="0.2">
      <c r="A11" s="2" t="s">
        <v>110</v>
      </c>
      <c r="B11" s="2" t="s">
        <v>111</v>
      </c>
      <c r="C11" s="2" t="s">
        <v>80</v>
      </c>
      <c r="D11" s="2" t="s">
        <v>101</v>
      </c>
      <c r="E11" s="2" t="s">
        <v>112</v>
      </c>
      <c r="F11" s="2" t="s">
        <v>103</v>
      </c>
      <c r="G11" s="2" t="s">
        <v>84</v>
      </c>
      <c r="H11" s="2"/>
      <c r="I11" s="2" t="s">
        <v>8</v>
      </c>
      <c r="J11" s="2"/>
    </row>
    <row r="12" spans="1:10" ht="58" customHeight="1" x14ac:dyDescent="0.2">
      <c r="A12" s="2" t="s">
        <v>113</v>
      </c>
      <c r="B12" s="2" t="s">
        <v>114</v>
      </c>
      <c r="C12" s="2" t="s">
        <v>80</v>
      </c>
      <c r="D12" s="2" t="s">
        <v>101</v>
      </c>
      <c r="E12" s="2" t="s">
        <v>115</v>
      </c>
      <c r="F12" s="2" t="s">
        <v>103</v>
      </c>
      <c r="G12" s="2" t="s">
        <v>55</v>
      </c>
      <c r="H12" s="2"/>
      <c r="I12" s="2" t="s">
        <v>8</v>
      </c>
      <c r="J12" s="2"/>
    </row>
    <row r="13" spans="1:10" ht="58" customHeight="1" x14ac:dyDescent="0.2">
      <c r="A13" s="2" t="s">
        <v>116</v>
      </c>
      <c r="B13" s="2" t="s">
        <v>117</v>
      </c>
      <c r="C13" s="2" t="s">
        <v>80</v>
      </c>
      <c r="D13" s="2" t="s">
        <v>101</v>
      </c>
      <c r="E13" s="2" t="s">
        <v>118</v>
      </c>
      <c r="F13" s="2" t="s">
        <v>103</v>
      </c>
      <c r="G13" s="2" t="s">
        <v>55</v>
      </c>
      <c r="H13" s="2"/>
      <c r="I13" s="2" t="s">
        <v>8</v>
      </c>
      <c r="J13" s="2"/>
    </row>
    <row r="14" spans="1:10" ht="58" customHeight="1" x14ac:dyDescent="0.2">
      <c r="A14" s="2" t="s">
        <v>119</v>
      </c>
      <c r="B14" s="2" t="s">
        <v>120</v>
      </c>
      <c r="C14" s="2" t="s">
        <v>80</v>
      </c>
      <c r="D14" s="2" t="s">
        <v>101</v>
      </c>
      <c r="E14" s="2" t="s">
        <v>121</v>
      </c>
      <c r="F14" s="2" t="s">
        <v>103</v>
      </c>
      <c r="G14" s="2" t="s">
        <v>55</v>
      </c>
      <c r="H14" s="2"/>
      <c r="I14" s="2" t="s">
        <v>8</v>
      </c>
      <c r="J14" s="2"/>
    </row>
    <row r="15" spans="1:10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5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autoFilter ref="A1:J24" xr:uid="{00000000-0009-0000-0000-000002000000}"/>
  <printOptions horizontalCentere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  <pageSetUpPr fitToPage="1"/>
  </sheetPr>
  <dimension ref="A1:J9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9" width="25" customWidth="1"/>
    <col min="10" max="10" width="42" customWidth="1"/>
  </cols>
  <sheetData>
    <row r="1" spans="1:10" ht="42" customHeight="1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44</v>
      </c>
      <c r="F1" s="1" t="s">
        <v>45</v>
      </c>
      <c r="G1" s="1" t="s">
        <v>47</v>
      </c>
      <c r="H1" s="1" t="s">
        <v>126</v>
      </c>
      <c r="I1" s="1" t="s">
        <v>4</v>
      </c>
      <c r="J1" s="1" t="s">
        <v>53</v>
      </c>
    </row>
    <row r="2" spans="1:10" ht="58" customHeight="1" x14ac:dyDescent="0.2">
      <c r="A2" s="2" t="s">
        <v>127</v>
      </c>
      <c r="B2" s="2" t="s">
        <v>128</v>
      </c>
      <c r="C2" s="2" t="s">
        <v>129</v>
      </c>
      <c r="D2" s="2" t="s">
        <v>130</v>
      </c>
      <c r="E2" s="2" t="s">
        <v>54</v>
      </c>
      <c r="F2" s="2" t="s">
        <v>55</v>
      </c>
      <c r="G2" s="2" t="s">
        <v>80</v>
      </c>
      <c r="H2" s="2" t="s">
        <v>131</v>
      </c>
      <c r="I2" s="2" t="s">
        <v>132</v>
      </c>
      <c r="J2" s="2" t="s">
        <v>133</v>
      </c>
    </row>
    <row r="3" spans="1:10" ht="58" customHeight="1" x14ac:dyDescent="0.2">
      <c r="A3" s="2" t="s">
        <v>134</v>
      </c>
      <c r="B3" s="2" t="s">
        <v>135</v>
      </c>
      <c r="C3" s="2" t="s">
        <v>129</v>
      </c>
      <c r="D3" s="2" t="s">
        <v>130</v>
      </c>
      <c r="E3" s="2" t="s">
        <v>54</v>
      </c>
      <c r="F3" s="2" t="s">
        <v>55</v>
      </c>
      <c r="G3" s="2" t="s">
        <v>80</v>
      </c>
      <c r="H3" s="2" t="s">
        <v>131</v>
      </c>
      <c r="I3" s="2" t="s">
        <v>132</v>
      </c>
      <c r="J3" s="2" t="s">
        <v>133</v>
      </c>
    </row>
    <row r="4" spans="1:10" ht="58" customHeight="1" x14ac:dyDescent="0.2">
      <c r="A4" s="2" t="s">
        <v>136</v>
      </c>
      <c r="B4" s="2" t="s">
        <v>128</v>
      </c>
      <c r="C4" s="2" t="s">
        <v>129</v>
      </c>
      <c r="D4" s="2" t="s">
        <v>130</v>
      </c>
      <c r="E4" s="2" t="s">
        <v>61</v>
      </c>
      <c r="F4" s="2" t="s">
        <v>62</v>
      </c>
      <c r="G4" s="2" t="s">
        <v>80</v>
      </c>
      <c r="H4" s="2" t="s">
        <v>131</v>
      </c>
      <c r="I4" s="2" t="s">
        <v>132</v>
      </c>
      <c r="J4" s="2" t="s">
        <v>133</v>
      </c>
    </row>
    <row r="5" spans="1:10" ht="58" customHeight="1" x14ac:dyDescent="0.2">
      <c r="A5" s="2" t="s">
        <v>137</v>
      </c>
      <c r="B5" s="2" t="s">
        <v>135</v>
      </c>
      <c r="C5" s="2" t="s">
        <v>129</v>
      </c>
      <c r="D5" s="2" t="s">
        <v>130</v>
      </c>
      <c r="E5" s="2" t="s">
        <v>61</v>
      </c>
      <c r="F5" s="2" t="s">
        <v>62</v>
      </c>
      <c r="G5" s="2" t="s">
        <v>80</v>
      </c>
      <c r="H5" s="2" t="s">
        <v>131</v>
      </c>
      <c r="I5" s="2" t="s">
        <v>132</v>
      </c>
      <c r="J5" s="2" t="s">
        <v>133</v>
      </c>
    </row>
    <row r="6" spans="1:10" ht="58" customHeight="1" x14ac:dyDescent="0.2">
      <c r="A6" s="2" t="s">
        <v>138</v>
      </c>
      <c r="B6" s="2" t="s">
        <v>128</v>
      </c>
      <c r="C6" s="2" t="s">
        <v>129</v>
      </c>
      <c r="D6" s="2" t="s">
        <v>130</v>
      </c>
      <c r="E6" s="2" t="s">
        <v>65</v>
      </c>
      <c r="F6" s="2" t="s">
        <v>66</v>
      </c>
      <c r="G6" s="2" t="s">
        <v>80</v>
      </c>
      <c r="H6" s="2" t="s">
        <v>131</v>
      </c>
      <c r="I6" s="2" t="s">
        <v>132</v>
      </c>
      <c r="J6" s="2" t="s">
        <v>133</v>
      </c>
    </row>
    <row r="7" spans="1:10" ht="58" customHeight="1" x14ac:dyDescent="0.2">
      <c r="A7" s="2" t="s">
        <v>139</v>
      </c>
      <c r="B7" s="2" t="s">
        <v>135</v>
      </c>
      <c r="C7" s="2" t="s">
        <v>129</v>
      </c>
      <c r="D7" s="2" t="s">
        <v>130</v>
      </c>
      <c r="E7" s="2" t="s">
        <v>65</v>
      </c>
      <c r="F7" s="2" t="s">
        <v>66</v>
      </c>
      <c r="G7" s="2" t="s">
        <v>80</v>
      </c>
      <c r="H7" s="2" t="s">
        <v>131</v>
      </c>
      <c r="I7" s="2" t="s">
        <v>132</v>
      </c>
      <c r="J7" s="2" t="s">
        <v>133</v>
      </c>
    </row>
    <row r="8" spans="1:10" ht="58" customHeight="1" x14ac:dyDescent="0.2">
      <c r="A8" s="2" t="s">
        <v>140</v>
      </c>
      <c r="B8" s="2" t="s">
        <v>141</v>
      </c>
      <c r="C8" s="2" t="s">
        <v>142</v>
      </c>
      <c r="D8" s="2" t="s">
        <v>102</v>
      </c>
      <c r="E8" s="2" t="s">
        <v>54</v>
      </c>
      <c r="F8" s="2" t="s">
        <v>55</v>
      </c>
      <c r="G8" s="2" t="s">
        <v>80</v>
      </c>
      <c r="H8" s="2" t="s">
        <v>131</v>
      </c>
      <c r="I8" s="2" t="s">
        <v>132</v>
      </c>
      <c r="J8" s="2" t="s">
        <v>133</v>
      </c>
    </row>
    <row r="9" spans="1:10" ht="58" customHeight="1" x14ac:dyDescent="0.2">
      <c r="A9" s="2" t="s">
        <v>143</v>
      </c>
      <c r="B9" s="2" t="s">
        <v>144</v>
      </c>
      <c r="C9" s="2" t="s">
        <v>142</v>
      </c>
      <c r="D9" s="2" t="s">
        <v>102</v>
      </c>
      <c r="E9" s="2" t="s">
        <v>54</v>
      </c>
      <c r="F9" s="2" t="s">
        <v>55</v>
      </c>
      <c r="G9" s="2" t="s">
        <v>80</v>
      </c>
      <c r="H9" s="2" t="s">
        <v>131</v>
      </c>
      <c r="I9" s="2" t="s">
        <v>132</v>
      </c>
      <c r="J9" s="2" t="s">
        <v>133</v>
      </c>
    </row>
    <row r="10" spans="1:10" ht="58" customHeight="1" x14ac:dyDescent="0.2">
      <c r="A10" s="2" t="s">
        <v>145</v>
      </c>
      <c r="B10" s="2" t="s">
        <v>146</v>
      </c>
      <c r="C10" s="2" t="s">
        <v>142</v>
      </c>
      <c r="D10" s="2" t="s">
        <v>102</v>
      </c>
      <c r="E10" s="2" t="s">
        <v>54</v>
      </c>
      <c r="F10" s="2" t="s">
        <v>55</v>
      </c>
      <c r="G10" s="2" t="s">
        <v>80</v>
      </c>
      <c r="H10" s="2" t="s">
        <v>131</v>
      </c>
      <c r="I10" s="2" t="s">
        <v>132</v>
      </c>
      <c r="J10" s="2" t="s">
        <v>133</v>
      </c>
    </row>
    <row r="11" spans="1:10" ht="58" customHeight="1" x14ac:dyDescent="0.2">
      <c r="A11" s="2" t="s">
        <v>147</v>
      </c>
      <c r="B11" s="2" t="s">
        <v>148</v>
      </c>
      <c r="C11" s="2" t="s">
        <v>142</v>
      </c>
      <c r="D11" s="2" t="s">
        <v>102</v>
      </c>
      <c r="E11" s="2" t="s">
        <v>54</v>
      </c>
      <c r="F11" s="2" t="s">
        <v>55</v>
      </c>
      <c r="G11" s="2" t="s">
        <v>80</v>
      </c>
      <c r="H11" s="2" t="s">
        <v>131</v>
      </c>
      <c r="I11" s="2" t="s">
        <v>132</v>
      </c>
      <c r="J11" s="2" t="s">
        <v>133</v>
      </c>
    </row>
    <row r="12" spans="1:10" ht="58" customHeight="1" x14ac:dyDescent="0.2">
      <c r="A12" s="2" t="s">
        <v>149</v>
      </c>
      <c r="B12" s="2" t="s">
        <v>141</v>
      </c>
      <c r="C12" s="2" t="s">
        <v>142</v>
      </c>
      <c r="D12" s="2" t="s">
        <v>102</v>
      </c>
      <c r="E12" s="2" t="s">
        <v>61</v>
      </c>
      <c r="F12" s="2" t="s">
        <v>62</v>
      </c>
      <c r="G12" s="2" t="s">
        <v>80</v>
      </c>
      <c r="H12" s="2" t="s">
        <v>131</v>
      </c>
      <c r="I12" s="2" t="s">
        <v>132</v>
      </c>
      <c r="J12" s="2" t="s">
        <v>133</v>
      </c>
    </row>
    <row r="13" spans="1:10" ht="58" customHeight="1" x14ac:dyDescent="0.2">
      <c r="A13" s="2" t="s">
        <v>150</v>
      </c>
      <c r="B13" s="2" t="s">
        <v>144</v>
      </c>
      <c r="C13" s="2" t="s">
        <v>142</v>
      </c>
      <c r="D13" s="2" t="s">
        <v>102</v>
      </c>
      <c r="E13" s="2" t="s">
        <v>61</v>
      </c>
      <c r="F13" s="2" t="s">
        <v>62</v>
      </c>
      <c r="G13" s="2" t="s">
        <v>80</v>
      </c>
      <c r="H13" s="2" t="s">
        <v>131</v>
      </c>
      <c r="I13" s="2" t="s">
        <v>132</v>
      </c>
      <c r="J13" s="2" t="s">
        <v>133</v>
      </c>
    </row>
    <row r="14" spans="1:10" ht="58" customHeight="1" x14ac:dyDescent="0.2">
      <c r="A14" s="2" t="s">
        <v>151</v>
      </c>
      <c r="B14" s="2" t="s">
        <v>146</v>
      </c>
      <c r="C14" s="2" t="s">
        <v>142</v>
      </c>
      <c r="D14" s="2" t="s">
        <v>102</v>
      </c>
      <c r="E14" s="2" t="s">
        <v>61</v>
      </c>
      <c r="F14" s="2" t="s">
        <v>62</v>
      </c>
      <c r="G14" s="2" t="s">
        <v>80</v>
      </c>
      <c r="H14" s="2" t="s">
        <v>131</v>
      </c>
      <c r="I14" s="2" t="s">
        <v>132</v>
      </c>
      <c r="J14" s="2" t="s">
        <v>133</v>
      </c>
    </row>
    <row r="15" spans="1:10" ht="58" customHeight="1" x14ac:dyDescent="0.2">
      <c r="A15" s="2" t="s">
        <v>152</v>
      </c>
      <c r="B15" s="2" t="s">
        <v>148</v>
      </c>
      <c r="C15" s="2" t="s">
        <v>142</v>
      </c>
      <c r="D15" s="2" t="s">
        <v>102</v>
      </c>
      <c r="E15" s="2" t="s">
        <v>61</v>
      </c>
      <c r="F15" s="2" t="s">
        <v>62</v>
      </c>
      <c r="G15" s="2" t="s">
        <v>80</v>
      </c>
      <c r="H15" s="2" t="s">
        <v>131</v>
      </c>
      <c r="I15" s="2" t="s">
        <v>132</v>
      </c>
      <c r="J15" s="2" t="s">
        <v>133</v>
      </c>
    </row>
    <row r="16" spans="1:10" ht="58" customHeight="1" x14ac:dyDescent="0.2">
      <c r="A16" s="2" t="s">
        <v>153</v>
      </c>
      <c r="B16" s="2" t="s">
        <v>141</v>
      </c>
      <c r="C16" s="2" t="s">
        <v>142</v>
      </c>
      <c r="D16" s="2" t="s">
        <v>102</v>
      </c>
      <c r="E16" s="2" t="s">
        <v>65</v>
      </c>
      <c r="F16" s="2" t="s">
        <v>66</v>
      </c>
      <c r="G16" s="2" t="s">
        <v>80</v>
      </c>
      <c r="H16" s="2" t="s">
        <v>131</v>
      </c>
      <c r="I16" s="2" t="s">
        <v>132</v>
      </c>
      <c r="J16" s="2" t="s">
        <v>133</v>
      </c>
    </row>
    <row r="17" spans="1:10" ht="58" customHeight="1" x14ac:dyDescent="0.2">
      <c r="A17" s="2" t="s">
        <v>154</v>
      </c>
      <c r="B17" s="2" t="s">
        <v>144</v>
      </c>
      <c r="C17" s="2" t="s">
        <v>142</v>
      </c>
      <c r="D17" s="2" t="s">
        <v>102</v>
      </c>
      <c r="E17" s="2" t="s">
        <v>65</v>
      </c>
      <c r="F17" s="2" t="s">
        <v>66</v>
      </c>
      <c r="G17" s="2" t="s">
        <v>80</v>
      </c>
      <c r="H17" s="2" t="s">
        <v>131</v>
      </c>
      <c r="I17" s="2" t="s">
        <v>132</v>
      </c>
      <c r="J17" s="2" t="s">
        <v>133</v>
      </c>
    </row>
    <row r="18" spans="1:10" ht="58" customHeight="1" x14ac:dyDescent="0.2">
      <c r="A18" s="2" t="s">
        <v>155</v>
      </c>
      <c r="B18" s="2" t="s">
        <v>146</v>
      </c>
      <c r="C18" s="2" t="s">
        <v>142</v>
      </c>
      <c r="D18" s="2" t="s">
        <v>102</v>
      </c>
      <c r="E18" s="2" t="s">
        <v>65</v>
      </c>
      <c r="F18" s="2" t="s">
        <v>66</v>
      </c>
      <c r="G18" s="2" t="s">
        <v>80</v>
      </c>
      <c r="H18" s="2" t="s">
        <v>131</v>
      </c>
      <c r="I18" s="2" t="s">
        <v>132</v>
      </c>
      <c r="J18" s="2" t="s">
        <v>133</v>
      </c>
    </row>
    <row r="19" spans="1:10" ht="58" customHeight="1" x14ac:dyDescent="0.2">
      <c r="A19" s="2" t="s">
        <v>156</v>
      </c>
      <c r="B19" s="2" t="s">
        <v>148</v>
      </c>
      <c r="C19" s="2" t="s">
        <v>142</v>
      </c>
      <c r="D19" s="2" t="s">
        <v>102</v>
      </c>
      <c r="E19" s="2" t="s">
        <v>65</v>
      </c>
      <c r="F19" s="2" t="s">
        <v>66</v>
      </c>
      <c r="G19" s="2" t="s">
        <v>80</v>
      </c>
      <c r="H19" s="2" t="s">
        <v>131</v>
      </c>
      <c r="I19" s="2" t="s">
        <v>132</v>
      </c>
      <c r="J19" s="2" t="s">
        <v>133</v>
      </c>
    </row>
    <row r="20" spans="1:10" ht="58" customHeight="1" x14ac:dyDescent="0.2">
      <c r="A20" s="2" t="s">
        <v>157</v>
      </c>
      <c r="B20" s="2" t="s">
        <v>158</v>
      </c>
      <c r="C20" s="2" t="s">
        <v>159</v>
      </c>
      <c r="D20" s="2" t="s">
        <v>106</v>
      </c>
      <c r="E20" s="2" t="s">
        <v>54</v>
      </c>
      <c r="F20" s="2" t="s">
        <v>55</v>
      </c>
      <c r="G20" s="2" t="s">
        <v>80</v>
      </c>
      <c r="H20" s="2" t="s">
        <v>131</v>
      </c>
      <c r="I20" s="2" t="s">
        <v>132</v>
      </c>
      <c r="J20" s="2" t="s">
        <v>133</v>
      </c>
    </row>
    <row r="21" spans="1:10" ht="58" customHeight="1" x14ac:dyDescent="0.2">
      <c r="A21" s="2" t="s">
        <v>160</v>
      </c>
      <c r="B21" s="2" t="s">
        <v>161</v>
      </c>
      <c r="C21" s="2" t="s">
        <v>159</v>
      </c>
      <c r="D21" s="2" t="s">
        <v>106</v>
      </c>
      <c r="E21" s="2" t="s">
        <v>54</v>
      </c>
      <c r="F21" s="2" t="s">
        <v>55</v>
      </c>
      <c r="G21" s="2" t="s">
        <v>80</v>
      </c>
      <c r="H21" s="2" t="s">
        <v>131</v>
      </c>
      <c r="I21" s="2" t="s">
        <v>132</v>
      </c>
      <c r="J21" s="2" t="s">
        <v>133</v>
      </c>
    </row>
    <row r="22" spans="1:10" ht="58" customHeight="1" x14ac:dyDescent="0.2">
      <c r="A22" s="2" t="s">
        <v>162</v>
      </c>
      <c r="B22" s="2" t="s">
        <v>163</v>
      </c>
      <c r="C22" s="2" t="s">
        <v>159</v>
      </c>
      <c r="D22" s="2" t="s">
        <v>106</v>
      </c>
      <c r="E22" s="2" t="s">
        <v>54</v>
      </c>
      <c r="F22" s="2" t="s">
        <v>55</v>
      </c>
      <c r="G22" s="2" t="s">
        <v>80</v>
      </c>
      <c r="H22" s="2" t="s">
        <v>131</v>
      </c>
      <c r="I22" s="2" t="s">
        <v>132</v>
      </c>
      <c r="J22" s="2" t="s">
        <v>133</v>
      </c>
    </row>
    <row r="23" spans="1:10" ht="58" customHeight="1" x14ac:dyDescent="0.2">
      <c r="A23" s="2" t="s">
        <v>164</v>
      </c>
      <c r="B23" s="2" t="s">
        <v>165</v>
      </c>
      <c r="C23" s="2" t="s">
        <v>159</v>
      </c>
      <c r="D23" s="2" t="s">
        <v>106</v>
      </c>
      <c r="E23" s="2" t="s">
        <v>54</v>
      </c>
      <c r="F23" s="2" t="s">
        <v>55</v>
      </c>
      <c r="G23" s="2" t="s">
        <v>80</v>
      </c>
      <c r="H23" s="2" t="s">
        <v>131</v>
      </c>
      <c r="I23" s="2" t="s">
        <v>132</v>
      </c>
      <c r="J23" s="2" t="s">
        <v>133</v>
      </c>
    </row>
    <row r="24" spans="1:10" ht="58" customHeight="1" x14ac:dyDescent="0.2">
      <c r="A24" s="2" t="s">
        <v>166</v>
      </c>
      <c r="B24" s="2" t="s">
        <v>158</v>
      </c>
      <c r="C24" s="2" t="s">
        <v>159</v>
      </c>
      <c r="D24" s="2" t="s">
        <v>106</v>
      </c>
      <c r="E24" s="2" t="s">
        <v>61</v>
      </c>
      <c r="F24" s="2" t="s">
        <v>62</v>
      </c>
      <c r="G24" s="2" t="s">
        <v>80</v>
      </c>
      <c r="H24" s="2" t="s">
        <v>131</v>
      </c>
      <c r="I24" s="2" t="s">
        <v>132</v>
      </c>
      <c r="J24" s="2" t="s">
        <v>133</v>
      </c>
    </row>
    <row r="25" spans="1:10" ht="58" customHeight="1" x14ac:dyDescent="0.2">
      <c r="A25" s="2" t="s">
        <v>167</v>
      </c>
      <c r="B25" s="2" t="s">
        <v>161</v>
      </c>
      <c r="C25" s="2" t="s">
        <v>159</v>
      </c>
      <c r="D25" s="2" t="s">
        <v>106</v>
      </c>
      <c r="E25" s="2" t="s">
        <v>61</v>
      </c>
      <c r="F25" s="2" t="s">
        <v>62</v>
      </c>
      <c r="G25" s="2" t="s">
        <v>80</v>
      </c>
      <c r="H25" s="2" t="s">
        <v>131</v>
      </c>
      <c r="I25" s="2" t="s">
        <v>132</v>
      </c>
      <c r="J25" s="2" t="s">
        <v>133</v>
      </c>
    </row>
    <row r="26" spans="1:10" ht="58" customHeight="1" x14ac:dyDescent="0.2">
      <c r="A26" s="2" t="s">
        <v>168</v>
      </c>
      <c r="B26" s="2" t="s">
        <v>163</v>
      </c>
      <c r="C26" s="2" t="s">
        <v>159</v>
      </c>
      <c r="D26" s="2" t="s">
        <v>106</v>
      </c>
      <c r="E26" s="2" t="s">
        <v>61</v>
      </c>
      <c r="F26" s="2" t="s">
        <v>62</v>
      </c>
      <c r="G26" s="2" t="s">
        <v>80</v>
      </c>
      <c r="H26" s="2" t="s">
        <v>131</v>
      </c>
      <c r="I26" s="2" t="s">
        <v>132</v>
      </c>
      <c r="J26" s="2" t="s">
        <v>133</v>
      </c>
    </row>
    <row r="27" spans="1:10" ht="58" customHeight="1" x14ac:dyDescent="0.2">
      <c r="A27" s="2" t="s">
        <v>169</v>
      </c>
      <c r="B27" s="2" t="s">
        <v>165</v>
      </c>
      <c r="C27" s="2" t="s">
        <v>159</v>
      </c>
      <c r="D27" s="2" t="s">
        <v>106</v>
      </c>
      <c r="E27" s="2" t="s">
        <v>61</v>
      </c>
      <c r="F27" s="2" t="s">
        <v>62</v>
      </c>
      <c r="G27" s="2" t="s">
        <v>80</v>
      </c>
      <c r="H27" s="2" t="s">
        <v>131</v>
      </c>
      <c r="I27" s="2" t="s">
        <v>132</v>
      </c>
      <c r="J27" s="2" t="s">
        <v>133</v>
      </c>
    </row>
    <row r="28" spans="1:10" ht="58" customHeight="1" x14ac:dyDescent="0.2">
      <c r="A28" s="2" t="s">
        <v>170</v>
      </c>
      <c r="B28" s="2" t="s">
        <v>158</v>
      </c>
      <c r="C28" s="2" t="s">
        <v>159</v>
      </c>
      <c r="D28" s="2" t="s">
        <v>106</v>
      </c>
      <c r="E28" s="2" t="s">
        <v>65</v>
      </c>
      <c r="F28" s="2" t="s">
        <v>66</v>
      </c>
      <c r="G28" s="2" t="s">
        <v>80</v>
      </c>
      <c r="H28" s="2" t="s">
        <v>131</v>
      </c>
      <c r="I28" s="2" t="s">
        <v>132</v>
      </c>
      <c r="J28" s="2" t="s">
        <v>133</v>
      </c>
    </row>
    <row r="29" spans="1:10" ht="58" customHeight="1" x14ac:dyDescent="0.2">
      <c r="A29" s="2" t="s">
        <v>171</v>
      </c>
      <c r="B29" s="2" t="s">
        <v>161</v>
      </c>
      <c r="C29" s="2" t="s">
        <v>159</v>
      </c>
      <c r="D29" s="2" t="s">
        <v>106</v>
      </c>
      <c r="E29" s="2" t="s">
        <v>65</v>
      </c>
      <c r="F29" s="2" t="s">
        <v>66</v>
      </c>
      <c r="G29" s="2" t="s">
        <v>80</v>
      </c>
      <c r="H29" s="2" t="s">
        <v>131</v>
      </c>
      <c r="I29" s="2" t="s">
        <v>132</v>
      </c>
      <c r="J29" s="2" t="s">
        <v>133</v>
      </c>
    </row>
    <row r="30" spans="1:10" ht="58" customHeight="1" x14ac:dyDescent="0.2">
      <c r="A30" s="2" t="s">
        <v>172</v>
      </c>
      <c r="B30" s="2" t="s">
        <v>163</v>
      </c>
      <c r="C30" s="2" t="s">
        <v>159</v>
      </c>
      <c r="D30" s="2" t="s">
        <v>106</v>
      </c>
      <c r="E30" s="2" t="s">
        <v>65</v>
      </c>
      <c r="F30" s="2" t="s">
        <v>66</v>
      </c>
      <c r="G30" s="2" t="s">
        <v>80</v>
      </c>
      <c r="H30" s="2" t="s">
        <v>131</v>
      </c>
      <c r="I30" s="2" t="s">
        <v>132</v>
      </c>
      <c r="J30" s="2" t="s">
        <v>133</v>
      </c>
    </row>
    <row r="31" spans="1:10" ht="58" customHeight="1" x14ac:dyDescent="0.2">
      <c r="A31" s="2" t="s">
        <v>173</v>
      </c>
      <c r="B31" s="2" t="s">
        <v>165</v>
      </c>
      <c r="C31" s="2" t="s">
        <v>159</v>
      </c>
      <c r="D31" s="2" t="s">
        <v>106</v>
      </c>
      <c r="E31" s="2" t="s">
        <v>65</v>
      </c>
      <c r="F31" s="2" t="s">
        <v>66</v>
      </c>
      <c r="G31" s="2" t="s">
        <v>80</v>
      </c>
      <c r="H31" s="2" t="s">
        <v>131</v>
      </c>
      <c r="I31" s="2" t="s">
        <v>132</v>
      </c>
      <c r="J31" s="2" t="s">
        <v>133</v>
      </c>
    </row>
    <row r="32" spans="1:10" ht="58" customHeight="1" x14ac:dyDescent="0.2">
      <c r="A32" s="2" t="s">
        <v>174</v>
      </c>
      <c r="B32" s="2" t="s">
        <v>175</v>
      </c>
      <c r="C32" s="2" t="s">
        <v>176</v>
      </c>
      <c r="D32" s="2" t="s">
        <v>109</v>
      </c>
      <c r="E32" s="2" t="s">
        <v>54</v>
      </c>
      <c r="F32" s="2" t="s">
        <v>55</v>
      </c>
      <c r="G32" s="2" t="s">
        <v>80</v>
      </c>
      <c r="H32" s="2" t="s">
        <v>131</v>
      </c>
      <c r="I32" s="2" t="s">
        <v>132</v>
      </c>
      <c r="J32" s="2" t="s">
        <v>133</v>
      </c>
    </row>
    <row r="33" spans="1:10" ht="58" customHeight="1" x14ac:dyDescent="0.2">
      <c r="A33" s="2" t="s">
        <v>177</v>
      </c>
      <c r="B33" s="2" t="s">
        <v>178</v>
      </c>
      <c r="C33" s="2" t="s">
        <v>176</v>
      </c>
      <c r="D33" s="2" t="s">
        <v>109</v>
      </c>
      <c r="E33" s="2" t="s">
        <v>54</v>
      </c>
      <c r="F33" s="2" t="s">
        <v>55</v>
      </c>
      <c r="G33" s="2" t="s">
        <v>80</v>
      </c>
      <c r="H33" s="2" t="s">
        <v>131</v>
      </c>
      <c r="I33" s="2" t="s">
        <v>132</v>
      </c>
      <c r="J33" s="2" t="s">
        <v>133</v>
      </c>
    </row>
    <row r="34" spans="1:10" ht="58" customHeight="1" x14ac:dyDescent="0.2">
      <c r="A34" s="2" t="s">
        <v>179</v>
      </c>
      <c r="B34" s="2" t="s">
        <v>180</v>
      </c>
      <c r="C34" s="2" t="s">
        <v>176</v>
      </c>
      <c r="D34" s="2" t="s">
        <v>109</v>
      </c>
      <c r="E34" s="2" t="s">
        <v>54</v>
      </c>
      <c r="F34" s="2" t="s">
        <v>55</v>
      </c>
      <c r="G34" s="2" t="s">
        <v>80</v>
      </c>
      <c r="H34" s="2" t="s">
        <v>131</v>
      </c>
      <c r="I34" s="2" t="s">
        <v>132</v>
      </c>
      <c r="J34" s="2" t="s">
        <v>133</v>
      </c>
    </row>
    <row r="35" spans="1:10" ht="58" customHeight="1" x14ac:dyDescent="0.2">
      <c r="A35" s="2" t="s">
        <v>181</v>
      </c>
      <c r="B35" s="2" t="s">
        <v>182</v>
      </c>
      <c r="C35" s="2" t="s">
        <v>176</v>
      </c>
      <c r="D35" s="2" t="s">
        <v>109</v>
      </c>
      <c r="E35" s="2" t="s">
        <v>54</v>
      </c>
      <c r="F35" s="2" t="s">
        <v>55</v>
      </c>
      <c r="G35" s="2" t="s">
        <v>80</v>
      </c>
      <c r="H35" s="2" t="s">
        <v>131</v>
      </c>
      <c r="I35" s="2" t="s">
        <v>132</v>
      </c>
      <c r="J35" s="2" t="s">
        <v>133</v>
      </c>
    </row>
    <row r="36" spans="1:10" ht="58" customHeight="1" x14ac:dyDescent="0.2">
      <c r="A36" s="2" t="s">
        <v>183</v>
      </c>
      <c r="B36" s="2" t="s">
        <v>175</v>
      </c>
      <c r="C36" s="2" t="s">
        <v>176</v>
      </c>
      <c r="D36" s="2" t="s">
        <v>109</v>
      </c>
      <c r="E36" s="2" t="s">
        <v>61</v>
      </c>
      <c r="F36" s="2" t="s">
        <v>62</v>
      </c>
      <c r="G36" s="2" t="s">
        <v>80</v>
      </c>
      <c r="H36" s="2" t="s">
        <v>131</v>
      </c>
      <c r="I36" s="2" t="s">
        <v>132</v>
      </c>
      <c r="J36" s="2" t="s">
        <v>133</v>
      </c>
    </row>
    <row r="37" spans="1:10" ht="58" customHeight="1" x14ac:dyDescent="0.2">
      <c r="A37" s="2" t="s">
        <v>184</v>
      </c>
      <c r="B37" s="2" t="s">
        <v>178</v>
      </c>
      <c r="C37" s="2" t="s">
        <v>176</v>
      </c>
      <c r="D37" s="2" t="s">
        <v>109</v>
      </c>
      <c r="E37" s="2" t="s">
        <v>61</v>
      </c>
      <c r="F37" s="2" t="s">
        <v>62</v>
      </c>
      <c r="G37" s="2" t="s">
        <v>80</v>
      </c>
      <c r="H37" s="2" t="s">
        <v>131</v>
      </c>
      <c r="I37" s="2" t="s">
        <v>132</v>
      </c>
      <c r="J37" s="2" t="s">
        <v>133</v>
      </c>
    </row>
    <row r="38" spans="1:10" ht="58" customHeight="1" x14ac:dyDescent="0.2">
      <c r="A38" s="2" t="s">
        <v>185</v>
      </c>
      <c r="B38" s="2" t="s">
        <v>180</v>
      </c>
      <c r="C38" s="2" t="s">
        <v>176</v>
      </c>
      <c r="D38" s="2" t="s">
        <v>109</v>
      </c>
      <c r="E38" s="2" t="s">
        <v>61</v>
      </c>
      <c r="F38" s="2" t="s">
        <v>62</v>
      </c>
      <c r="G38" s="2" t="s">
        <v>80</v>
      </c>
      <c r="H38" s="2" t="s">
        <v>131</v>
      </c>
      <c r="I38" s="2" t="s">
        <v>132</v>
      </c>
      <c r="J38" s="2" t="s">
        <v>133</v>
      </c>
    </row>
    <row r="39" spans="1:10" ht="58" customHeight="1" x14ac:dyDescent="0.2">
      <c r="A39" s="2" t="s">
        <v>186</v>
      </c>
      <c r="B39" s="2" t="s">
        <v>182</v>
      </c>
      <c r="C39" s="2" t="s">
        <v>176</v>
      </c>
      <c r="D39" s="2" t="s">
        <v>109</v>
      </c>
      <c r="E39" s="2" t="s">
        <v>61</v>
      </c>
      <c r="F39" s="2" t="s">
        <v>62</v>
      </c>
      <c r="G39" s="2" t="s">
        <v>80</v>
      </c>
      <c r="H39" s="2" t="s">
        <v>131</v>
      </c>
      <c r="I39" s="2" t="s">
        <v>132</v>
      </c>
      <c r="J39" s="2" t="s">
        <v>133</v>
      </c>
    </row>
    <row r="40" spans="1:10" ht="58" customHeight="1" x14ac:dyDescent="0.2">
      <c r="A40" s="2" t="s">
        <v>187</v>
      </c>
      <c r="B40" s="2" t="s">
        <v>175</v>
      </c>
      <c r="C40" s="2" t="s">
        <v>176</v>
      </c>
      <c r="D40" s="2" t="s">
        <v>109</v>
      </c>
      <c r="E40" s="2" t="s">
        <v>65</v>
      </c>
      <c r="F40" s="2" t="s">
        <v>66</v>
      </c>
      <c r="G40" s="2" t="s">
        <v>80</v>
      </c>
      <c r="H40" s="2" t="s">
        <v>131</v>
      </c>
      <c r="I40" s="2" t="s">
        <v>132</v>
      </c>
      <c r="J40" s="2" t="s">
        <v>133</v>
      </c>
    </row>
    <row r="41" spans="1:10" ht="58" customHeight="1" x14ac:dyDescent="0.2">
      <c r="A41" s="2" t="s">
        <v>188</v>
      </c>
      <c r="B41" s="2" t="s">
        <v>178</v>
      </c>
      <c r="C41" s="2" t="s">
        <v>176</v>
      </c>
      <c r="D41" s="2" t="s">
        <v>109</v>
      </c>
      <c r="E41" s="2" t="s">
        <v>65</v>
      </c>
      <c r="F41" s="2" t="s">
        <v>66</v>
      </c>
      <c r="G41" s="2" t="s">
        <v>80</v>
      </c>
      <c r="H41" s="2" t="s">
        <v>131</v>
      </c>
      <c r="I41" s="2" t="s">
        <v>132</v>
      </c>
      <c r="J41" s="2" t="s">
        <v>133</v>
      </c>
    </row>
    <row r="42" spans="1:10" ht="58" customHeight="1" x14ac:dyDescent="0.2">
      <c r="A42" s="2" t="s">
        <v>189</v>
      </c>
      <c r="B42" s="2" t="s">
        <v>180</v>
      </c>
      <c r="C42" s="2" t="s">
        <v>176</v>
      </c>
      <c r="D42" s="2" t="s">
        <v>109</v>
      </c>
      <c r="E42" s="2" t="s">
        <v>65</v>
      </c>
      <c r="F42" s="2" t="s">
        <v>66</v>
      </c>
      <c r="G42" s="2" t="s">
        <v>80</v>
      </c>
      <c r="H42" s="2" t="s">
        <v>131</v>
      </c>
      <c r="I42" s="2" t="s">
        <v>132</v>
      </c>
      <c r="J42" s="2" t="s">
        <v>133</v>
      </c>
    </row>
    <row r="43" spans="1:10" ht="58" customHeight="1" x14ac:dyDescent="0.2">
      <c r="A43" s="2" t="s">
        <v>190</v>
      </c>
      <c r="B43" s="2" t="s">
        <v>182</v>
      </c>
      <c r="C43" s="2" t="s">
        <v>176</v>
      </c>
      <c r="D43" s="2" t="s">
        <v>109</v>
      </c>
      <c r="E43" s="2" t="s">
        <v>65</v>
      </c>
      <c r="F43" s="2" t="s">
        <v>66</v>
      </c>
      <c r="G43" s="2" t="s">
        <v>80</v>
      </c>
      <c r="H43" s="2" t="s">
        <v>131</v>
      </c>
      <c r="I43" s="2" t="s">
        <v>132</v>
      </c>
      <c r="J43" s="2" t="s">
        <v>133</v>
      </c>
    </row>
    <row r="44" spans="1:10" ht="58" customHeight="1" x14ac:dyDescent="0.2">
      <c r="A44" s="2" t="s">
        <v>191</v>
      </c>
      <c r="B44" s="2" t="s">
        <v>192</v>
      </c>
      <c r="C44" s="2" t="s">
        <v>193</v>
      </c>
      <c r="D44" s="2" t="s">
        <v>112</v>
      </c>
      <c r="E44" s="2" t="s">
        <v>54</v>
      </c>
      <c r="F44" s="2" t="s">
        <v>55</v>
      </c>
      <c r="G44" s="2" t="s">
        <v>80</v>
      </c>
      <c r="H44" s="2" t="s">
        <v>131</v>
      </c>
      <c r="I44" s="2" t="s">
        <v>132</v>
      </c>
      <c r="J44" s="2" t="s">
        <v>133</v>
      </c>
    </row>
    <row r="45" spans="1:10" ht="58" customHeight="1" x14ac:dyDescent="0.2">
      <c r="A45" s="2" t="s">
        <v>194</v>
      </c>
      <c r="B45" s="2" t="s">
        <v>195</v>
      </c>
      <c r="C45" s="2" t="s">
        <v>193</v>
      </c>
      <c r="D45" s="2" t="s">
        <v>112</v>
      </c>
      <c r="E45" s="2" t="s">
        <v>54</v>
      </c>
      <c r="F45" s="2" t="s">
        <v>55</v>
      </c>
      <c r="G45" s="2" t="s">
        <v>80</v>
      </c>
      <c r="H45" s="2" t="s">
        <v>131</v>
      </c>
      <c r="I45" s="2" t="s">
        <v>132</v>
      </c>
      <c r="J45" s="2" t="s">
        <v>133</v>
      </c>
    </row>
    <row r="46" spans="1:10" ht="58" customHeight="1" x14ac:dyDescent="0.2">
      <c r="A46" s="2" t="s">
        <v>196</v>
      </c>
      <c r="B46" s="2" t="s">
        <v>197</v>
      </c>
      <c r="C46" s="2" t="s">
        <v>193</v>
      </c>
      <c r="D46" s="2" t="s">
        <v>112</v>
      </c>
      <c r="E46" s="2" t="s">
        <v>54</v>
      </c>
      <c r="F46" s="2" t="s">
        <v>55</v>
      </c>
      <c r="G46" s="2" t="s">
        <v>80</v>
      </c>
      <c r="H46" s="2" t="s">
        <v>131</v>
      </c>
      <c r="I46" s="2" t="s">
        <v>132</v>
      </c>
      <c r="J46" s="2" t="s">
        <v>133</v>
      </c>
    </row>
    <row r="47" spans="1:10" ht="58" customHeight="1" x14ac:dyDescent="0.2">
      <c r="A47" s="2" t="s">
        <v>198</v>
      </c>
      <c r="B47" s="2" t="s">
        <v>192</v>
      </c>
      <c r="C47" s="2" t="s">
        <v>193</v>
      </c>
      <c r="D47" s="2" t="s">
        <v>112</v>
      </c>
      <c r="E47" s="2" t="s">
        <v>61</v>
      </c>
      <c r="F47" s="2" t="s">
        <v>62</v>
      </c>
      <c r="G47" s="2" t="s">
        <v>80</v>
      </c>
      <c r="H47" s="2" t="s">
        <v>131</v>
      </c>
      <c r="I47" s="2" t="s">
        <v>132</v>
      </c>
      <c r="J47" s="2" t="s">
        <v>133</v>
      </c>
    </row>
    <row r="48" spans="1:10" ht="58" customHeight="1" x14ac:dyDescent="0.2">
      <c r="A48" s="2" t="s">
        <v>199</v>
      </c>
      <c r="B48" s="2" t="s">
        <v>195</v>
      </c>
      <c r="C48" s="2" t="s">
        <v>193</v>
      </c>
      <c r="D48" s="2" t="s">
        <v>112</v>
      </c>
      <c r="E48" s="2" t="s">
        <v>61</v>
      </c>
      <c r="F48" s="2" t="s">
        <v>62</v>
      </c>
      <c r="G48" s="2" t="s">
        <v>80</v>
      </c>
      <c r="H48" s="2" t="s">
        <v>131</v>
      </c>
      <c r="I48" s="2" t="s">
        <v>132</v>
      </c>
      <c r="J48" s="2" t="s">
        <v>133</v>
      </c>
    </row>
    <row r="49" spans="1:10" ht="58" customHeight="1" x14ac:dyDescent="0.2">
      <c r="A49" s="2" t="s">
        <v>200</v>
      </c>
      <c r="B49" s="2" t="s">
        <v>197</v>
      </c>
      <c r="C49" s="2" t="s">
        <v>193</v>
      </c>
      <c r="D49" s="2" t="s">
        <v>112</v>
      </c>
      <c r="E49" s="2" t="s">
        <v>61</v>
      </c>
      <c r="F49" s="2" t="s">
        <v>62</v>
      </c>
      <c r="G49" s="2" t="s">
        <v>80</v>
      </c>
      <c r="H49" s="2" t="s">
        <v>131</v>
      </c>
      <c r="I49" s="2" t="s">
        <v>132</v>
      </c>
      <c r="J49" s="2" t="s">
        <v>133</v>
      </c>
    </row>
    <row r="50" spans="1:10" ht="58" customHeight="1" x14ac:dyDescent="0.2">
      <c r="A50" s="2" t="s">
        <v>201</v>
      </c>
      <c r="B50" s="2" t="s">
        <v>192</v>
      </c>
      <c r="C50" s="2" t="s">
        <v>193</v>
      </c>
      <c r="D50" s="2" t="s">
        <v>112</v>
      </c>
      <c r="E50" s="2" t="s">
        <v>65</v>
      </c>
      <c r="F50" s="2" t="s">
        <v>66</v>
      </c>
      <c r="G50" s="2" t="s">
        <v>80</v>
      </c>
      <c r="H50" s="2" t="s">
        <v>131</v>
      </c>
      <c r="I50" s="2" t="s">
        <v>132</v>
      </c>
      <c r="J50" s="2" t="s">
        <v>133</v>
      </c>
    </row>
    <row r="51" spans="1:10" ht="58" customHeight="1" x14ac:dyDescent="0.2">
      <c r="A51" s="2" t="s">
        <v>202</v>
      </c>
      <c r="B51" s="2" t="s">
        <v>195</v>
      </c>
      <c r="C51" s="2" t="s">
        <v>193</v>
      </c>
      <c r="D51" s="2" t="s">
        <v>112</v>
      </c>
      <c r="E51" s="2" t="s">
        <v>65</v>
      </c>
      <c r="F51" s="2" t="s">
        <v>66</v>
      </c>
      <c r="G51" s="2" t="s">
        <v>80</v>
      </c>
      <c r="H51" s="2" t="s">
        <v>131</v>
      </c>
      <c r="I51" s="2" t="s">
        <v>132</v>
      </c>
      <c r="J51" s="2" t="s">
        <v>133</v>
      </c>
    </row>
    <row r="52" spans="1:10" ht="58" customHeight="1" x14ac:dyDescent="0.2">
      <c r="A52" s="2" t="s">
        <v>203</v>
      </c>
      <c r="B52" s="2" t="s">
        <v>197</v>
      </c>
      <c r="C52" s="2" t="s">
        <v>193</v>
      </c>
      <c r="D52" s="2" t="s">
        <v>112</v>
      </c>
      <c r="E52" s="2" t="s">
        <v>65</v>
      </c>
      <c r="F52" s="2" t="s">
        <v>66</v>
      </c>
      <c r="G52" s="2" t="s">
        <v>80</v>
      </c>
      <c r="H52" s="2" t="s">
        <v>131</v>
      </c>
      <c r="I52" s="2" t="s">
        <v>132</v>
      </c>
      <c r="J52" s="2" t="s">
        <v>133</v>
      </c>
    </row>
    <row r="53" spans="1:10" ht="58" customHeight="1" x14ac:dyDescent="0.2">
      <c r="A53" s="2" t="s">
        <v>204</v>
      </c>
      <c r="B53" s="2" t="s">
        <v>205</v>
      </c>
      <c r="C53" s="2" t="s">
        <v>206</v>
      </c>
      <c r="D53" s="2" t="s">
        <v>207</v>
      </c>
      <c r="E53" s="2" t="s">
        <v>54</v>
      </c>
      <c r="F53" s="2" t="s">
        <v>55</v>
      </c>
      <c r="G53" s="2" t="s">
        <v>80</v>
      </c>
      <c r="H53" s="2" t="s">
        <v>131</v>
      </c>
      <c r="I53" s="2" t="s">
        <v>132</v>
      </c>
      <c r="J53" s="2" t="s">
        <v>133</v>
      </c>
    </row>
    <row r="54" spans="1:10" ht="58" customHeight="1" x14ac:dyDescent="0.2">
      <c r="A54" s="2" t="s">
        <v>208</v>
      </c>
      <c r="B54" s="2" t="s">
        <v>209</v>
      </c>
      <c r="C54" s="2" t="s">
        <v>206</v>
      </c>
      <c r="D54" s="2" t="s">
        <v>207</v>
      </c>
      <c r="E54" s="2" t="s">
        <v>54</v>
      </c>
      <c r="F54" s="2" t="s">
        <v>55</v>
      </c>
      <c r="G54" s="2" t="s">
        <v>80</v>
      </c>
      <c r="H54" s="2" t="s">
        <v>131</v>
      </c>
      <c r="I54" s="2" t="s">
        <v>132</v>
      </c>
      <c r="J54" s="2" t="s">
        <v>133</v>
      </c>
    </row>
    <row r="55" spans="1:10" ht="58" customHeight="1" x14ac:dyDescent="0.2">
      <c r="A55" s="2" t="s">
        <v>210</v>
      </c>
      <c r="B55" s="2" t="s">
        <v>211</v>
      </c>
      <c r="C55" s="2" t="s">
        <v>206</v>
      </c>
      <c r="D55" s="2" t="s">
        <v>207</v>
      </c>
      <c r="E55" s="2" t="s">
        <v>54</v>
      </c>
      <c r="F55" s="2" t="s">
        <v>55</v>
      </c>
      <c r="G55" s="2" t="s">
        <v>80</v>
      </c>
      <c r="H55" s="2" t="s">
        <v>131</v>
      </c>
      <c r="I55" s="2" t="s">
        <v>132</v>
      </c>
      <c r="J55" s="2" t="s">
        <v>133</v>
      </c>
    </row>
    <row r="56" spans="1:10" ht="58" customHeight="1" x14ac:dyDescent="0.2">
      <c r="A56" s="2" t="s">
        <v>212</v>
      </c>
      <c r="B56" s="2" t="s">
        <v>205</v>
      </c>
      <c r="C56" s="2" t="s">
        <v>206</v>
      </c>
      <c r="D56" s="2" t="s">
        <v>207</v>
      </c>
      <c r="E56" s="2" t="s">
        <v>67</v>
      </c>
      <c r="F56" s="2" t="s">
        <v>213</v>
      </c>
      <c r="G56" s="2" t="s">
        <v>80</v>
      </c>
      <c r="H56" s="2" t="s">
        <v>131</v>
      </c>
      <c r="I56" s="2" t="s">
        <v>132</v>
      </c>
      <c r="J56" s="2" t="s">
        <v>133</v>
      </c>
    </row>
    <row r="57" spans="1:10" ht="58" customHeight="1" x14ac:dyDescent="0.2">
      <c r="A57" s="2" t="s">
        <v>214</v>
      </c>
      <c r="B57" s="2" t="s">
        <v>209</v>
      </c>
      <c r="C57" s="2" t="s">
        <v>206</v>
      </c>
      <c r="D57" s="2" t="s">
        <v>207</v>
      </c>
      <c r="E57" s="2" t="s">
        <v>67</v>
      </c>
      <c r="F57" s="2" t="s">
        <v>213</v>
      </c>
      <c r="G57" s="2" t="s">
        <v>80</v>
      </c>
      <c r="H57" s="2" t="s">
        <v>131</v>
      </c>
      <c r="I57" s="2" t="s">
        <v>132</v>
      </c>
      <c r="J57" s="2" t="s">
        <v>133</v>
      </c>
    </row>
    <row r="58" spans="1:10" ht="58" customHeight="1" x14ac:dyDescent="0.2">
      <c r="A58" s="2" t="s">
        <v>215</v>
      </c>
      <c r="B58" s="2" t="s">
        <v>211</v>
      </c>
      <c r="C58" s="2" t="s">
        <v>206</v>
      </c>
      <c r="D58" s="2" t="s">
        <v>207</v>
      </c>
      <c r="E58" s="2" t="s">
        <v>67</v>
      </c>
      <c r="F58" s="2" t="s">
        <v>213</v>
      </c>
      <c r="G58" s="2" t="s">
        <v>80</v>
      </c>
      <c r="H58" s="2" t="s">
        <v>131</v>
      </c>
      <c r="I58" s="2" t="s">
        <v>132</v>
      </c>
      <c r="J58" s="2" t="s">
        <v>133</v>
      </c>
    </row>
    <row r="59" spans="1:10" ht="58" customHeight="1" x14ac:dyDescent="0.2">
      <c r="A59" s="2" t="s">
        <v>216</v>
      </c>
      <c r="B59" s="2" t="s">
        <v>217</v>
      </c>
      <c r="C59" s="2" t="s">
        <v>218</v>
      </c>
      <c r="D59" s="2" t="s">
        <v>219</v>
      </c>
      <c r="E59" s="2" t="s">
        <v>54</v>
      </c>
      <c r="F59" s="2" t="s">
        <v>55</v>
      </c>
      <c r="G59" s="2" t="s">
        <v>80</v>
      </c>
      <c r="H59" s="2" t="s">
        <v>131</v>
      </c>
      <c r="I59" s="2" t="s">
        <v>132</v>
      </c>
      <c r="J59" s="2" t="s">
        <v>133</v>
      </c>
    </row>
    <row r="60" spans="1:10" ht="58" customHeight="1" x14ac:dyDescent="0.2">
      <c r="A60" s="2" t="s">
        <v>220</v>
      </c>
      <c r="B60" s="2" t="s">
        <v>221</v>
      </c>
      <c r="C60" s="2" t="s">
        <v>218</v>
      </c>
      <c r="D60" s="2" t="s">
        <v>219</v>
      </c>
      <c r="E60" s="2" t="s">
        <v>54</v>
      </c>
      <c r="F60" s="2" t="s">
        <v>55</v>
      </c>
      <c r="G60" s="2" t="s">
        <v>80</v>
      </c>
      <c r="H60" s="2" t="s">
        <v>131</v>
      </c>
      <c r="I60" s="2" t="s">
        <v>132</v>
      </c>
      <c r="J60" s="2" t="s">
        <v>133</v>
      </c>
    </row>
    <row r="61" spans="1:10" ht="58" customHeight="1" x14ac:dyDescent="0.2">
      <c r="A61" s="2" t="s">
        <v>222</v>
      </c>
      <c r="B61" s="2" t="s">
        <v>223</v>
      </c>
      <c r="C61" s="2" t="s">
        <v>218</v>
      </c>
      <c r="D61" s="2" t="s">
        <v>219</v>
      </c>
      <c r="E61" s="2" t="s">
        <v>54</v>
      </c>
      <c r="F61" s="2" t="s">
        <v>55</v>
      </c>
      <c r="G61" s="2" t="s">
        <v>80</v>
      </c>
      <c r="H61" s="2" t="s">
        <v>131</v>
      </c>
      <c r="I61" s="2" t="s">
        <v>132</v>
      </c>
      <c r="J61" s="2" t="s">
        <v>133</v>
      </c>
    </row>
    <row r="62" spans="1:10" ht="58" customHeight="1" x14ac:dyDescent="0.2">
      <c r="A62" s="2" t="s">
        <v>224</v>
      </c>
      <c r="B62" s="2" t="s">
        <v>225</v>
      </c>
      <c r="C62" s="2" t="s">
        <v>218</v>
      </c>
      <c r="D62" s="2" t="s">
        <v>219</v>
      </c>
      <c r="E62" s="2" t="s">
        <v>54</v>
      </c>
      <c r="F62" s="2" t="s">
        <v>55</v>
      </c>
      <c r="G62" s="2" t="s">
        <v>80</v>
      </c>
      <c r="H62" s="2" t="s">
        <v>131</v>
      </c>
      <c r="I62" s="2" t="s">
        <v>132</v>
      </c>
      <c r="J62" s="2" t="s">
        <v>133</v>
      </c>
    </row>
    <row r="63" spans="1:10" ht="58" customHeight="1" x14ac:dyDescent="0.2">
      <c r="A63" s="2" t="s">
        <v>226</v>
      </c>
      <c r="B63" s="2" t="s">
        <v>227</v>
      </c>
      <c r="C63" s="2" t="s">
        <v>228</v>
      </c>
      <c r="D63" s="2" t="s">
        <v>229</v>
      </c>
      <c r="E63" s="2" t="s">
        <v>54</v>
      </c>
      <c r="F63" s="2" t="s">
        <v>55</v>
      </c>
      <c r="G63" s="2" t="s">
        <v>80</v>
      </c>
      <c r="H63" s="2" t="s">
        <v>131</v>
      </c>
      <c r="I63" s="2" t="s">
        <v>132</v>
      </c>
      <c r="J63" s="2" t="s">
        <v>133</v>
      </c>
    </row>
    <row r="64" spans="1:10" ht="58" customHeight="1" x14ac:dyDescent="0.2">
      <c r="A64" s="2" t="s">
        <v>230</v>
      </c>
      <c r="B64" s="2" t="s">
        <v>231</v>
      </c>
      <c r="C64" s="2" t="s">
        <v>228</v>
      </c>
      <c r="D64" s="2" t="s">
        <v>229</v>
      </c>
      <c r="E64" s="2" t="s">
        <v>54</v>
      </c>
      <c r="F64" s="2" t="s">
        <v>55</v>
      </c>
      <c r="G64" s="2" t="s">
        <v>80</v>
      </c>
      <c r="H64" s="2" t="s">
        <v>131</v>
      </c>
      <c r="I64" s="2" t="s">
        <v>132</v>
      </c>
      <c r="J64" s="2" t="s">
        <v>133</v>
      </c>
    </row>
    <row r="65" spans="1:10" ht="58" customHeight="1" x14ac:dyDescent="0.2">
      <c r="A65" s="2" t="s">
        <v>232</v>
      </c>
      <c r="B65" s="2" t="s">
        <v>233</v>
      </c>
      <c r="C65" s="2" t="s">
        <v>228</v>
      </c>
      <c r="D65" s="2" t="s">
        <v>229</v>
      </c>
      <c r="E65" s="2" t="s">
        <v>54</v>
      </c>
      <c r="F65" s="2" t="s">
        <v>55</v>
      </c>
      <c r="G65" s="2" t="s">
        <v>80</v>
      </c>
      <c r="H65" s="2" t="s">
        <v>131</v>
      </c>
      <c r="I65" s="2" t="s">
        <v>132</v>
      </c>
      <c r="J65" s="2" t="s">
        <v>133</v>
      </c>
    </row>
    <row r="66" spans="1:10" ht="58" customHeight="1" x14ac:dyDescent="0.2">
      <c r="A66" s="2" t="s">
        <v>234</v>
      </c>
      <c r="B66" s="2" t="s">
        <v>235</v>
      </c>
      <c r="C66" s="2" t="s">
        <v>236</v>
      </c>
      <c r="D66" s="2" t="s">
        <v>237</v>
      </c>
      <c r="E66" s="2" t="s">
        <v>54</v>
      </c>
      <c r="F66" s="2" t="s">
        <v>55</v>
      </c>
      <c r="G66" s="2" t="s">
        <v>80</v>
      </c>
      <c r="H66" s="2" t="s">
        <v>131</v>
      </c>
      <c r="I66" s="2" t="s">
        <v>132</v>
      </c>
      <c r="J66" s="2" t="s">
        <v>133</v>
      </c>
    </row>
    <row r="67" spans="1:10" ht="58" customHeight="1" x14ac:dyDescent="0.2">
      <c r="A67" s="2" t="s">
        <v>238</v>
      </c>
      <c r="B67" s="2" t="s">
        <v>239</v>
      </c>
      <c r="C67" s="2" t="s">
        <v>236</v>
      </c>
      <c r="D67" s="2" t="s">
        <v>237</v>
      </c>
      <c r="E67" s="2" t="s">
        <v>54</v>
      </c>
      <c r="F67" s="2" t="s">
        <v>55</v>
      </c>
      <c r="G67" s="2" t="s">
        <v>80</v>
      </c>
      <c r="H67" s="2" t="s">
        <v>131</v>
      </c>
      <c r="I67" s="2" t="s">
        <v>132</v>
      </c>
      <c r="J67" s="2" t="s">
        <v>133</v>
      </c>
    </row>
    <row r="68" spans="1:10" ht="58" customHeight="1" x14ac:dyDescent="0.2">
      <c r="A68" s="2" t="s">
        <v>240</v>
      </c>
      <c r="B68" s="2" t="s">
        <v>241</v>
      </c>
      <c r="C68" s="2" t="s">
        <v>242</v>
      </c>
      <c r="D68" s="2" t="s">
        <v>243</v>
      </c>
      <c r="E68" s="2" t="s">
        <v>54</v>
      </c>
      <c r="F68" s="2" t="s">
        <v>55</v>
      </c>
      <c r="G68" s="2" t="s">
        <v>80</v>
      </c>
      <c r="H68" s="2" t="s">
        <v>131</v>
      </c>
      <c r="I68" s="2" t="s">
        <v>132</v>
      </c>
      <c r="J68" s="2" t="s">
        <v>133</v>
      </c>
    </row>
    <row r="69" spans="1:10" ht="58" customHeight="1" x14ac:dyDescent="0.2">
      <c r="A69" s="2" t="s">
        <v>244</v>
      </c>
      <c r="B69" s="2" t="s">
        <v>245</v>
      </c>
      <c r="C69" s="2" t="s">
        <v>242</v>
      </c>
      <c r="D69" s="2" t="s">
        <v>243</v>
      </c>
      <c r="E69" s="2" t="s">
        <v>54</v>
      </c>
      <c r="F69" s="2" t="s">
        <v>55</v>
      </c>
      <c r="G69" s="2" t="s">
        <v>80</v>
      </c>
      <c r="H69" s="2" t="s">
        <v>131</v>
      </c>
      <c r="I69" s="2" t="s">
        <v>132</v>
      </c>
      <c r="J69" s="2" t="s">
        <v>133</v>
      </c>
    </row>
    <row r="70" spans="1:10" ht="58" customHeight="1" x14ac:dyDescent="0.2">
      <c r="A70" s="2" t="s">
        <v>246</v>
      </c>
      <c r="B70" s="2" t="s">
        <v>247</v>
      </c>
      <c r="C70" s="2" t="s">
        <v>242</v>
      </c>
      <c r="D70" s="2" t="s">
        <v>243</v>
      </c>
      <c r="E70" s="2" t="s">
        <v>54</v>
      </c>
      <c r="F70" s="2" t="s">
        <v>55</v>
      </c>
      <c r="G70" s="2" t="s">
        <v>80</v>
      </c>
      <c r="H70" s="2" t="s">
        <v>131</v>
      </c>
      <c r="I70" s="2" t="s">
        <v>132</v>
      </c>
      <c r="J70" s="2" t="s">
        <v>133</v>
      </c>
    </row>
    <row r="71" spans="1:10" ht="58" customHeight="1" x14ac:dyDescent="0.2">
      <c r="A71" s="2" t="s">
        <v>248</v>
      </c>
      <c r="B71" s="2" t="s">
        <v>249</v>
      </c>
      <c r="C71" s="2" t="s">
        <v>242</v>
      </c>
      <c r="D71" s="2" t="s">
        <v>243</v>
      </c>
      <c r="E71" s="2" t="s">
        <v>54</v>
      </c>
      <c r="F71" s="2" t="s">
        <v>55</v>
      </c>
      <c r="G71" s="2" t="s">
        <v>80</v>
      </c>
      <c r="H71" s="2" t="s">
        <v>131</v>
      </c>
      <c r="I71" s="2" t="s">
        <v>132</v>
      </c>
      <c r="J71" s="2" t="s">
        <v>133</v>
      </c>
    </row>
    <row r="72" spans="1:10" ht="58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58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58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58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58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58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58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58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58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58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58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58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58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58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58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58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58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58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58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58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</sheetData>
  <autoFilter ref="A1:J91" xr:uid="{00000000-0009-0000-0000-000003000000}"/>
  <printOptions horizontalCentere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Right="0"/>
    <pageSetUpPr fitToPage="1"/>
  </sheetPr>
  <dimension ref="A1:V3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1" width="25" customWidth="1"/>
    <col min="12" max="12" width="42" customWidth="1"/>
    <col min="13" max="20" width="25" customWidth="1"/>
    <col min="21" max="22" width="42" customWidth="1"/>
  </cols>
  <sheetData>
    <row r="1" spans="1:22" ht="42" customHeight="1" x14ac:dyDescent="0.2">
      <c r="A1" s="1" t="s">
        <v>122</v>
      </c>
      <c r="B1" s="1" t="s">
        <v>51</v>
      </c>
      <c r="C1" s="1" t="s">
        <v>250</v>
      </c>
      <c r="D1" s="1" t="s">
        <v>44</v>
      </c>
      <c r="E1" s="1" t="s">
        <v>251</v>
      </c>
      <c r="F1" s="1" t="s">
        <v>47</v>
      </c>
      <c r="G1" s="1" t="s">
        <v>124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49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53</v>
      </c>
    </row>
    <row r="2" spans="1:22" ht="58" customHeight="1" x14ac:dyDescent="0.2">
      <c r="A2" s="2" t="s">
        <v>127</v>
      </c>
      <c r="B2" s="2"/>
      <c r="C2" s="2" t="s">
        <v>128</v>
      </c>
      <c r="D2" s="2" t="s">
        <v>54</v>
      </c>
      <c r="E2" s="2" t="s">
        <v>55</v>
      </c>
      <c r="F2" s="2" t="s">
        <v>80</v>
      </c>
      <c r="G2" s="2" t="s">
        <v>129</v>
      </c>
      <c r="H2" s="2" t="s">
        <v>265</v>
      </c>
      <c r="I2" s="2"/>
      <c r="J2" s="3"/>
      <c r="K2" s="3"/>
      <c r="L2" s="2"/>
      <c r="M2" s="2"/>
      <c r="N2" s="4"/>
      <c r="O2" s="4"/>
      <c r="P2" s="2"/>
      <c r="Q2" s="2"/>
      <c r="R2" s="2"/>
      <c r="S2" s="2"/>
      <c r="T2" s="2"/>
      <c r="U2" s="2" t="s">
        <v>132</v>
      </c>
      <c r="V2" s="2"/>
    </row>
    <row r="3" spans="1:22" ht="58" customHeight="1" x14ac:dyDescent="0.2">
      <c r="A3" s="2" t="s">
        <v>134</v>
      </c>
      <c r="B3" s="2"/>
      <c r="C3" s="2" t="s">
        <v>135</v>
      </c>
      <c r="D3" s="2" t="s">
        <v>54</v>
      </c>
      <c r="E3" s="2" t="s">
        <v>55</v>
      </c>
      <c r="F3" s="2" t="s">
        <v>80</v>
      </c>
      <c r="G3" s="2" t="s">
        <v>129</v>
      </c>
      <c r="H3" s="2" t="s">
        <v>265</v>
      </c>
      <c r="I3" s="2"/>
      <c r="J3" s="3"/>
      <c r="K3" s="3"/>
      <c r="L3" s="2"/>
      <c r="M3" s="2"/>
      <c r="N3" s="4"/>
      <c r="O3" s="4"/>
      <c r="P3" s="2"/>
      <c r="Q3" s="2"/>
      <c r="R3" s="2"/>
      <c r="S3" s="2"/>
      <c r="T3" s="2"/>
      <c r="U3" s="2" t="s">
        <v>132</v>
      </c>
      <c r="V3" s="2"/>
    </row>
    <row r="4" spans="1:22" ht="58" customHeight="1" x14ac:dyDescent="0.2">
      <c r="A4" s="2" t="s">
        <v>136</v>
      </c>
      <c r="B4" s="2"/>
      <c r="C4" s="2" t="s">
        <v>128</v>
      </c>
      <c r="D4" s="2" t="s">
        <v>61</v>
      </c>
      <c r="E4" s="2" t="s">
        <v>62</v>
      </c>
      <c r="F4" s="2" t="s">
        <v>80</v>
      </c>
      <c r="G4" s="2" t="s">
        <v>129</v>
      </c>
      <c r="H4" s="2" t="s">
        <v>265</v>
      </c>
      <c r="I4" s="2"/>
      <c r="J4" s="3"/>
      <c r="K4" s="3"/>
      <c r="L4" s="2"/>
      <c r="M4" s="2"/>
      <c r="N4" s="4"/>
      <c r="O4" s="4"/>
      <c r="P4" s="2"/>
      <c r="Q4" s="2"/>
      <c r="R4" s="2"/>
      <c r="S4" s="2"/>
      <c r="T4" s="2"/>
      <c r="U4" s="2" t="s">
        <v>132</v>
      </c>
      <c r="V4" s="2"/>
    </row>
    <row r="5" spans="1:22" ht="58" customHeight="1" x14ac:dyDescent="0.2">
      <c r="A5" s="2" t="s">
        <v>137</v>
      </c>
      <c r="B5" s="2"/>
      <c r="C5" s="2" t="s">
        <v>135</v>
      </c>
      <c r="D5" s="2" t="s">
        <v>61</v>
      </c>
      <c r="E5" s="2" t="s">
        <v>62</v>
      </c>
      <c r="F5" s="2" t="s">
        <v>80</v>
      </c>
      <c r="G5" s="2" t="s">
        <v>129</v>
      </c>
      <c r="H5" s="2" t="s">
        <v>265</v>
      </c>
      <c r="I5" s="2"/>
      <c r="J5" s="3"/>
      <c r="K5" s="3"/>
      <c r="L5" s="2"/>
      <c r="M5" s="2"/>
      <c r="N5" s="4"/>
      <c r="O5" s="4"/>
      <c r="P5" s="2"/>
      <c r="Q5" s="2"/>
      <c r="R5" s="2"/>
      <c r="S5" s="2"/>
      <c r="T5" s="2"/>
      <c r="U5" s="2" t="s">
        <v>132</v>
      </c>
      <c r="V5" s="2"/>
    </row>
    <row r="6" spans="1:22" ht="58" customHeight="1" x14ac:dyDescent="0.2">
      <c r="A6" s="2" t="s">
        <v>138</v>
      </c>
      <c r="B6" s="2"/>
      <c r="C6" s="2" t="s">
        <v>128</v>
      </c>
      <c r="D6" s="2" t="s">
        <v>65</v>
      </c>
      <c r="E6" s="2" t="s">
        <v>66</v>
      </c>
      <c r="F6" s="2" t="s">
        <v>80</v>
      </c>
      <c r="G6" s="2" t="s">
        <v>129</v>
      </c>
      <c r="H6" s="2" t="s">
        <v>265</v>
      </c>
      <c r="I6" s="2"/>
      <c r="J6" s="3"/>
      <c r="K6" s="3"/>
      <c r="L6" s="2"/>
      <c r="M6" s="2"/>
      <c r="N6" s="4"/>
      <c r="O6" s="4"/>
      <c r="P6" s="2"/>
      <c r="Q6" s="2"/>
      <c r="R6" s="2"/>
      <c r="S6" s="2"/>
      <c r="T6" s="2"/>
      <c r="U6" s="2" t="s">
        <v>132</v>
      </c>
      <c r="V6" s="2"/>
    </row>
    <row r="7" spans="1:22" ht="58" customHeight="1" x14ac:dyDescent="0.2">
      <c r="A7" s="2" t="s">
        <v>139</v>
      </c>
      <c r="B7" s="2"/>
      <c r="C7" s="2" t="s">
        <v>135</v>
      </c>
      <c r="D7" s="2" t="s">
        <v>65</v>
      </c>
      <c r="E7" s="2" t="s">
        <v>66</v>
      </c>
      <c r="F7" s="2" t="s">
        <v>80</v>
      </c>
      <c r="G7" s="2" t="s">
        <v>129</v>
      </c>
      <c r="H7" s="2" t="s">
        <v>265</v>
      </c>
      <c r="I7" s="2"/>
      <c r="J7" s="3"/>
      <c r="K7" s="3"/>
      <c r="L7" s="2"/>
      <c r="M7" s="2"/>
      <c r="N7" s="4"/>
      <c r="O7" s="4"/>
      <c r="P7" s="2"/>
      <c r="Q7" s="2"/>
      <c r="R7" s="2"/>
      <c r="S7" s="2"/>
      <c r="T7" s="2"/>
      <c r="U7" s="2" t="s">
        <v>132</v>
      </c>
      <c r="V7" s="2"/>
    </row>
    <row r="8" spans="1:22" ht="58" customHeight="1" x14ac:dyDescent="0.2">
      <c r="A8" s="2" t="s">
        <v>140</v>
      </c>
      <c r="B8" s="2"/>
      <c r="C8" s="2" t="s">
        <v>141</v>
      </c>
      <c r="D8" s="2" t="s">
        <v>54</v>
      </c>
      <c r="E8" s="2" t="s">
        <v>55</v>
      </c>
      <c r="F8" s="2" t="s">
        <v>80</v>
      </c>
      <c r="G8" s="2" t="s">
        <v>142</v>
      </c>
      <c r="H8" s="2" t="s">
        <v>265</v>
      </c>
      <c r="I8" s="2"/>
      <c r="J8" s="3"/>
      <c r="K8" s="3"/>
      <c r="L8" s="2"/>
      <c r="M8" s="2"/>
      <c r="N8" s="4"/>
      <c r="O8" s="4"/>
      <c r="P8" s="2"/>
      <c r="Q8" s="2"/>
      <c r="R8" s="2"/>
      <c r="S8" s="2"/>
      <c r="T8" s="2"/>
      <c r="U8" s="2" t="s">
        <v>132</v>
      </c>
      <c r="V8" s="2"/>
    </row>
    <row r="9" spans="1:22" ht="58" customHeight="1" x14ac:dyDescent="0.2">
      <c r="A9" s="2" t="s">
        <v>143</v>
      </c>
      <c r="B9" s="2"/>
      <c r="C9" s="2" t="s">
        <v>144</v>
      </c>
      <c r="D9" s="2" t="s">
        <v>54</v>
      </c>
      <c r="E9" s="2" t="s">
        <v>55</v>
      </c>
      <c r="F9" s="2" t="s">
        <v>80</v>
      </c>
      <c r="G9" s="2" t="s">
        <v>142</v>
      </c>
      <c r="H9" s="2" t="s">
        <v>265</v>
      </c>
      <c r="I9" s="2"/>
      <c r="J9" s="3"/>
      <c r="K9" s="3"/>
      <c r="L9" s="2"/>
      <c r="M9" s="2"/>
      <c r="N9" s="4"/>
      <c r="O9" s="4"/>
      <c r="P9" s="2"/>
      <c r="Q9" s="2"/>
      <c r="R9" s="2"/>
      <c r="S9" s="2"/>
      <c r="T9" s="2"/>
      <c r="U9" s="2" t="s">
        <v>132</v>
      </c>
      <c r="V9" s="2"/>
    </row>
    <row r="10" spans="1:22" ht="58" customHeight="1" x14ac:dyDescent="0.2">
      <c r="A10" s="2" t="s">
        <v>145</v>
      </c>
      <c r="B10" s="2"/>
      <c r="C10" s="2" t="s">
        <v>146</v>
      </c>
      <c r="D10" s="2" t="s">
        <v>54</v>
      </c>
      <c r="E10" s="2" t="s">
        <v>55</v>
      </c>
      <c r="F10" s="2" t="s">
        <v>80</v>
      </c>
      <c r="G10" s="2" t="s">
        <v>142</v>
      </c>
      <c r="H10" s="2" t="s">
        <v>265</v>
      </c>
      <c r="I10" s="2"/>
      <c r="J10" s="3"/>
      <c r="K10" s="3"/>
      <c r="L10" s="2"/>
      <c r="M10" s="2"/>
      <c r="N10" s="4"/>
      <c r="O10" s="4"/>
      <c r="P10" s="2"/>
      <c r="Q10" s="2"/>
      <c r="R10" s="2"/>
      <c r="S10" s="2"/>
      <c r="T10" s="2"/>
      <c r="U10" s="2" t="s">
        <v>132</v>
      </c>
      <c r="V10" s="2"/>
    </row>
    <row r="11" spans="1:22" ht="58" customHeight="1" x14ac:dyDescent="0.2">
      <c r="A11" s="2" t="s">
        <v>147</v>
      </c>
      <c r="B11" s="2"/>
      <c r="C11" s="2" t="s">
        <v>148</v>
      </c>
      <c r="D11" s="2" t="s">
        <v>54</v>
      </c>
      <c r="E11" s="2" t="s">
        <v>55</v>
      </c>
      <c r="F11" s="2" t="s">
        <v>80</v>
      </c>
      <c r="G11" s="2" t="s">
        <v>142</v>
      </c>
      <c r="H11" s="2" t="s">
        <v>265</v>
      </c>
      <c r="I11" s="2"/>
      <c r="J11" s="3"/>
      <c r="K11" s="3"/>
      <c r="L11" s="2"/>
      <c r="M11" s="2"/>
      <c r="N11" s="4"/>
      <c r="O11" s="4"/>
      <c r="P11" s="2"/>
      <c r="Q11" s="2"/>
      <c r="R11" s="2"/>
      <c r="S11" s="2"/>
      <c r="T11" s="2"/>
      <c r="U11" s="2" t="s">
        <v>132</v>
      </c>
      <c r="V11" s="2"/>
    </row>
    <row r="12" spans="1:22" ht="58" customHeight="1" x14ac:dyDescent="0.2">
      <c r="A12" s="2" t="s">
        <v>149</v>
      </c>
      <c r="B12" s="2"/>
      <c r="C12" s="2" t="s">
        <v>141</v>
      </c>
      <c r="D12" s="2" t="s">
        <v>61</v>
      </c>
      <c r="E12" s="2" t="s">
        <v>62</v>
      </c>
      <c r="F12" s="2" t="s">
        <v>80</v>
      </c>
      <c r="G12" s="2" t="s">
        <v>142</v>
      </c>
      <c r="H12" s="2" t="s">
        <v>265</v>
      </c>
      <c r="I12" s="2"/>
      <c r="J12" s="3"/>
      <c r="K12" s="3"/>
      <c r="L12" s="2"/>
      <c r="M12" s="2"/>
      <c r="N12" s="4"/>
      <c r="O12" s="4"/>
      <c r="P12" s="2"/>
      <c r="Q12" s="2"/>
      <c r="R12" s="2"/>
      <c r="S12" s="2"/>
      <c r="T12" s="2"/>
      <c r="U12" s="2" t="s">
        <v>132</v>
      </c>
      <c r="V12" s="2"/>
    </row>
    <row r="13" spans="1:22" ht="58" customHeight="1" x14ac:dyDescent="0.2">
      <c r="A13" s="2" t="s">
        <v>150</v>
      </c>
      <c r="B13" s="2"/>
      <c r="C13" s="2" t="s">
        <v>144</v>
      </c>
      <c r="D13" s="2" t="s">
        <v>61</v>
      </c>
      <c r="E13" s="2" t="s">
        <v>62</v>
      </c>
      <c r="F13" s="2" t="s">
        <v>80</v>
      </c>
      <c r="G13" s="2" t="s">
        <v>142</v>
      </c>
      <c r="H13" s="2" t="s">
        <v>265</v>
      </c>
      <c r="I13" s="2"/>
      <c r="J13" s="3"/>
      <c r="K13" s="3"/>
      <c r="L13" s="2"/>
      <c r="M13" s="2"/>
      <c r="N13" s="4"/>
      <c r="O13" s="4"/>
      <c r="P13" s="2"/>
      <c r="Q13" s="2"/>
      <c r="R13" s="2"/>
      <c r="S13" s="2"/>
      <c r="T13" s="2"/>
      <c r="U13" s="2" t="s">
        <v>132</v>
      </c>
      <c r="V13" s="2"/>
    </row>
    <row r="14" spans="1:22" ht="58" customHeight="1" x14ac:dyDescent="0.2">
      <c r="A14" s="2" t="s">
        <v>151</v>
      </c>
      <c r="B14" s="2"/>
      <c r="C14" s="2" t="s">
        <v>146</v>
      </c>
      <c r="D14" s="2" t="s">
        <v>61</v>
      </c>
      <c r="E14" s="2" t="s">
        <v>62</v>
      </c>
      <c r="F14" s="2" t="s">
        <v>80</v>
      </c>
      <c r="G14" s="2" t="s">
        <v>142</v>
      </c>
      <c r="H14" s="2" t="s">
        <v>265</v>
      </c>
      <c r="I14" s="2"/>
      <c r="J14" s="3"/>
      <c r="K14" s="3"/>
      <c r="L14" s="2"/>
      <c r="M14" s="2"/>
      <c r="N14" s="4"/>
      <c r="O14" s="4"/>
      <c r="P14" s="2"/>
      <c r="Q14" s="2"/>
      <c r="R14" s="2"/>
      <c r="S14" s="2"/>
      <c r="T14" s="2"/>
      <c r="U14" s="2" t="s">
        <v>132</v>
      </c>
      <c r="V14" s="2"/>
    </row>
    <row r="15" spans="1:22" ht="58" customHeight="1" x14ac:dyDescent="0.2">
      <c r="A15" s="2" t="s">
        <v>152</v>
      </c>
      <c r="B15" s="2"/>
      <c r="C15" s="2" t="s">
        <v>148</v>
      </c>
      <c r="D15" s="2" t="s">
        <v>61</v>
      </c>
      <c r="E15" s="2" t="s">
        <v>62</v>
      </c>
      <c r="F15" s="2" t="s">
        <v>80</v>
      </c>
      <c r="G15" s="2" t="s">
        <v>142</v>
      </c>
      <c r="H15" s="2" t="s">
        <v>265</v>
      </c>
      <c r="I15" s="2"/>
      <c r="J15" s="3"/>
      <c r="K15" s="3"/>
      <c r="L15" s="2"/>
      <c r="M15" s="2"/>
      <c r="N15" s="4"/>
      <c r="O15" s="4"/>
      <c r="P15" s="2"/>
      <c r="Q15" s="2"/>
      <c r="R15" s="2"/>
      <c r="S15" s="2"/>
      <c r="T15" s="2"/>
      <c r="U15" s="2" t="s">
        <v>132</v>
      </c>
      <c r="V15" s="2"/>
    </row>
    <row r="16" spans="1:22" ht="58" customHeight="1" x14ac:dyDescent="0.2">
      <c r="A16" s="2" t="s">
        <v>153</v>
      </c>
      <c r="B16" s="2"/>
      <c r="C16" s="2" t="s">
        <v>141</v>
      </c>
      <c r="D16" s="2" t="s">
        <v>65</v>
      </c>
      <c r="E16" s="2" t="s">
        <v>66</v>
      </c>
      <c r="F16" s="2" t="s">
        <v>80</v>
      </c>
      <c r="G16" s="2" t="s">
        <v>142</v>
      </c>
      <c r="H16" s="2" t="s">
        <v>265</v>
      </c>
      <c r="I16" s="2"/>
      <c r="J16" s="3"/>
      <c r="K16" s="3"/>
      <c r="L16" s="2"/>
      <c r="M16" s="2"/>
      <c r="N16" s="4"/>
      <c r="O16" s="4"/>
      <c r="P16" s="2"/>
      <c r="Q16" s="2"/>
      <c r="R16" s="2"/>
      <c r="S16" s="2"/>
      <c r="T16" s="2"/>
      <c r="U16" s="2" t="s">
        <v>132</v>
      </c>
      <c r="V16" s="2"/>
    </row>
    <row r="17" spans="1:22" ht="58" customHeight="1" x14ac:dyDescent="0.2">
      <c r="A17" s="2" t="s">
        <v>154</v>
      </c>
      <c r="B17" s="2"/>
      <c r="C17" s="2" t="s">
        <v>144</v>
      </c>
      <c r="D17" s="2" t="s">
        <v>65</v>
      </c>
      <c r="E17" s="2" t="s">
        <v>66</v>
      </c>
      <c r="F17" s="2" t="s">
        <v>80</v>
      </c>
      <c r="G17" s="2" t="s">
        <v>142</v>
      </c>
      <c r="H17" s="2" t="s">
        <v>265</v>
      </c>
      <c r="I17" s="2"/>
      <c r="J17" s="3"/>
      <c r="K17" s="3"/>
      <c r="L17" s="2"/>
      <c r="M17" s="2"/>
      <c r="N17" s="4"/>
      <c r="O17" s="4"/>
      <c r="P17" s="2"/>
      <c r="Q17" s="2"/>
      <c r="R17" s="2"/>
      <c r="S17" s="2"/>
      <c r="T17" s="2"/>
      <c r="U17" s="2" t="s">
        <v>132</v>
      </c>
      <c r="V17" s="2"/>
    </row>
    <row r="18" spans="1:22" ht="58" customHeight="1" x14ac:dyDescent="0.2">
      <c r="A18" s="2" t="s">
        <v>155</v>
      </c>
      <c r="B18" s="2"/>
      <c r="C18" s="2" t="s">
        <v>146</v>
      </c>
      <c r="D18" s="2" t="s">
        <v>65</v>
      </c>
      <c r="E18" s="2" t="s">
        <v>66</v>
      </c>
      <c r="F18" s="2" t="s">
        <v>80</v>
      </c>
      <c r="G18" s="2" t="s">
        <v>142</v>
      </c>
      <c r="H18" s="2" t="s">
        <v>265</v>
      </c>
      <c r="I18" s="2"/>
      <c r="J18" s="3"/>
      <c r="K18" s="3"/>
      <c r="L18" s="2"/>
      <c r="M18" s="2"/>
      <c r="N18" s="4"/>
      <c r="O18" s="4"/>
      <c r="P18" s="2"/>
      <c r="Q18" s="2"/>
      <c r="R18" s="2"/>
      <c r="S18" s="2"/>
      <c r="T18" s="2"/>
      <c r="U18" s="2" t="s">
        <v>132</v>
      </c>
      <c r="V18" s="2"/>
    </row>
    <row r="19" spans="1:22" ht="58" customHeight="1" x14ac:dyDescent="0.2">
      <c r="A19" s="2" t="s">
        <v>156</v>
      </c>
      <c r="B19" s="2"/>
      <c r="C19" s="2" t="s">
        <v>148</v>
      </c>
      <c r="D19" s="2" t="s">
        <v>65</v>
      </c>
      <c r="E19" s="2" t="s">
        <v>66</v>
      </c>
      <c r="F19" s="2" t="s">
        <v>80</v>
      </c>
      <c r="G19" s="2" t="s">
        <v>142</v>
      </c>
      <c r="H19" s="2" t="s">
        <v>265</v>
      </c>
      <c r="I19" s="2"/>
      <c r="J19" s="3"/>
      <c r="K19" s="3"/>
      <c r="L19" s="2"/>
      <c r="M19" s="2"/>
      <c r="N19" s="4"/>
      <c r="O19" s="4"/>
      <c r="P19" s="2"/>
      <c r="Q19" s="2"/>
      <c r="R19" s="2"/>
      <c r="S19" s="2"/>
      <c r="T19" s="2"/>
      <c r="U19" s="2" t="s">
        <v>132</v>
      </c>
      <c r="V19" s="2"/>
    </row>
    <row r="20" spans="1:22" ht="58" customHeight="1" x14ac:dyDescent="0.2">
      <c r="A20" s="2" t="s">
        <v>157</v>
      </c>
      <c r="B20" s="2"/>
      <c r="C20" s="2" t="s">
        <v>158</v>
      </c>
      <c r="D20" s="2" t="s">
        <v>54</v>
      </c>
      <c r="E20" s="2" t="s">
        <v>55</v>
      </c>
      <c r="F20" s="2" t="s">
        <v>80</v>
      </c>
      <c r="G20" s="2" t="s">
        <v>159</v>
      </c>
      <c r="H20" s="2" t="s">
        <v>265</v>
      </c>
      <c r="I20" s="2"/>
      <c r="J20" s="3"/>
      <c r="K20" s="3"/>
      <c r="L20" s="2"/>
      <c r="M20" s="2"/>
      <c r="N20" s="4"/>
      <c r="O20" s="4"/>
      <c r="P20" s="2"/>
      <c r="Q20" s="2"/>
      <c r="R20" s="2"/>
      <c r="S20" s="2"/>
      <c r="T20" s="2"/>
      <c r="U20" s="2" t="s">
        <v>132</v>
      </c>
      <c r="V20" s="2"/>
    </row>
    <row r="21" spans="1:22" ht="58" customHeight="1" x14ac:dyDescent="0.2">
      <c r="A21" s="2" t="s">
        <v>160</v>
      </c>
      <c r="B21" s="2"/>
      <c r="C21" s="2" t="s">
        <v>161</v>
      </c>
      <c r="D21" s="2" t="s">
        <v>54</v>
      </c>
      <c r="E21" s="2" t="s">
        <v>55</v>
      </c>
      <c r="F21" s="2" t="s">
        <v>80</v>
      </c>
      <c r="G21" s="2" t="s">
        <v>159</v>
      </c>
      <c r="H21" s="2" t="s">
        <v>265</v>
      </c>
      <c r="I21" s="2"/>
      <c r="J21" s="3"/>
      <c r="K21" s="3"/>
      <c r="L21" s="2"/>
      <c r="M21" s="2"/>
      <c r="N21" s="4"/>
      <c r="O21" s="4"/>
      <c r="P21" s="2"/>
      <c r="Q21" s="2"/>
      <c r="R21" s="2"/>
      <c r="S21" s="2"/>
      <c r="T21" s="2"/>
      <c r="U21" s="2" t="s">
        <v>132</v>
      </c>
      <c r="V21" s="2"/>
    </row>
    <row r="22" spans="1:22" ht="58" customHeight="1" x14ac:dyDescent="0.2">
      <c r="A22" s="2" t="s">
        <v>162</v>
      </c>
      <c r="B22" s="2"/>
      <c r="C22" s="2" t="s">
        <v>163</v>
      </c>
      <c r="D22" s="2" t="s">
        <v>54</v>
      </c>
      <c r="E22" s="2" t="s">
        <v>55</v>
      </c>
      <c r="F22" s="2" t="s">
        <v>80</v>
      </c>
      <c r="G22" s="2" t="s">
        <v>159</v>
      </c>
      <c r="H22" s="2" t="s">
        <v>265</v>
      </c>
      <c r="I22" s="2"/>
      <c r="J22" s="3"/>
      <c r="K22" s="3"/>
      <c r="L22" s="2"/>
      <c r="M22" s="2"/>
      <c r="N22" s="4"/>
      <c r="O22" s="4"/>
      <c r="P22" s="2"/>
      <c r="Q22" s="2"/>
      <c r="R22" s="2"/>
      <c r="S22" s="2"/>
      <c r="T22" s="2"/>
      <c r="U22" s="2" t="s">
        <v>132</v>
      </c>
      <c r="V22" s="2"/>
    </row>
    <row r="23" spans="1:22" ht="58" customHeight="1" x14ac:dyDescent="0.2">
      <c r="A23" s="2" t="s">
        <v>164</v>
      </c>
      <c r="B23" s="2"/>
      <c r="C23" s="2" t="s">
        <v>165</v>
      </c>
      <c r="D23" s="2" t="s">
        <v>54</v>
      </c>
      <c r="E23" s="2" t="s">
        <v>55</v>
      </c>
      <c r="F23" s="2" t="s">
        <v>80</v>
      </c>
      <c r="G23" s="2" t="s">
        <v>159</v>
      </c>
      <c r="H23" s="2" t="s">
        <v>265</v>
      </c>
      <c r="I23" s="2"/>
      <c r="J23" s="3"/>
      <c r="K23" s="3"/>
      <c r="L23" s="2"/>
      <c r="M23" s="2"/>
      <c r="N23" s="4"/>
      <c r="O23" s="4"/>
      <c r="P23" s="2"/>
      <c r="Q23" s="2"/>
      <c r="R23" s="2"/>
      <c r="S23" s="2"/>
      <c r="T23" s="2"/>
      <c r="U23" s="2" t="s">
        <v>132</v>
      </c>
      <c r="V23" s="2"/>
    </row>
    <row r="24" spans="1:22" ht="58" customHeight="1" x14ac:dyDescent="0.2">
      <c r="A24" s="2" t="s">
        <v>166</v>
      </c>
      <c r="B24" s="2"/>
      <c r="C24" s="2" t="s">
        <v>158</v>
      </c>
      <c r="D24" s="2" t="s">
        <v>61</v>
      </c>
      <c r="E24" s="2" t="s">
        <v>62</v>
      </c>
      <c r="F24" s="2" t="s">
        <v>80</v>
      </c>
      <c r="G24" s="2" t="s">
        <v>159</v>
      </c>
      <c r="H24" s="2" t="s">
        <v>265</v>
      </c>
      <c r="I24" s="2"/>
      <c r="J24" s="3"/>
      <c r="K24" s="3"/>
      <c r="L24" s="2"/>
      <c r="M24" s="2"/>
      <c r="N24" s="4"/>
      <c r="O24" s="4"/>
      <c r="P24" s="2"/>
      <c r="Q24" s="2"/>
      <c r="R24" s="2"/>
      <c r="S24" s="2"/>
      <c r="T24" s="2"/>
      <c r="U24" s="2" t="s">
        <v>132</v>
      </c>
      <c r="V24" s="2"/>
    </row>
    <row r="25" spans="1:22" ht="58" customHeight="1" x14ac:dyDescent="0.2">
      <c r="A25" s="2" t="s">
        <v>167</v>
      </c>
      <c r="B25" s="2"/>
      <c r="C25" s="2" t="s">
        <v>161</v>
      </c>
      <c r="D25" s="2" t="s">
        <v>61</v>
      </c>
      <c r="E25" s="2" t="s">
        <v>62</v>
      </c>
      <c r="F25" s="2" t="s">
        <v>80</v>
      </c>
      <c r="G25" s="2" t="s">
        <v>159</v>
      </c>
      <c r="H25" s="2" t="s">
        <v>265</v>
      </c>
      <c r="I25" s="2"/>
      <c r="J25" s="3"/>
      <c r="K25" s="3"/>
      <c r="L25" s="2"/>
      <c r="M25" s="2"/>
      <c r="N25" s="4"/>
      <c r="O25" s="4"/>
      <c r="P25" s="2"/>
      <c r="Q25" s="2"/>
      <c r="R25" s="2"/>
      <c r="S25" s="2"/>
      <c r="T25" s="2"/>
      <c r="U25" s="2" t="s">
        <v>132</v>
      </c>
      <c r="V25" s="2"/>
    </row>
    <row r="26" spans="1:22" ht="58" customHeight="1" x14ac:dyDescent="0.2">
      <c r="A26" s="2" t="s">
        <v>168</v>
      </c>
      <c r="B26" s="2"/>
      <c r="C26" s="2" t="s">
        <v>163</v>
      </c>
      <c r="D26" s="2" t="s">
        <v>61</v>
      </c>
      <c r="E26" s="2" t="s">
        <v>62</v>
      </c>
      <c r="F26" s="2" t="s">
        <v>80</v>
      </c>
      <c r="G26" s="2" t="s">
        <v>159</v>
      </c>
      <c r="H26" s="2" t="s">
        <v>265</v>
      </c>
      <c r="I26" s="2"/>
      <c r="J26" s="3"/>
      <c r="K26" s="3"/>
      <c r="L26" s="2"/>
      <c r="M26" s="2"/>
      <c r="N26" s="4"/>
      <c r="O26" s="4"/>
      <c r="P26" s="2"/>
      <c r="Q26" s="2"/>
      <c r="R26" s="2"/>
      <c r="S26" s="2"/>
      <c r="T26" s="2"/>
      <c r="U26" s="2" t="s">
        <v>132</v>
      </c>
      <c r="V26" s="2"/>
    </row>
    <row r="27" spans="1:22" ht="58" customHeight="1" x14ac:dyDescent="0.2">
      <c r="A27" s="2" t="s">
        <v>169</v>
      </c>
      <c r="B27" s="2"/>
      <c r="C27" s="2" t="s">
        <v>165</v>
      </c>
      <c r="D27" s="2" t="s">
        <v>61</v>
      </c>
      <c r="E27" s="2" t="s">
        <v>62</v>
      </c>
      <c r="F27" s="2" t="s">
        <v>80</v>
      </c>
      <c r="G27" s="2" t="s">
        <v>159</v>
      </c>
      <c r="H27" s="2" t="s">
        <v>265</v>
      </c>
      <c r="I27" s="2"/>
      <c r="J27" s="3"/>
      <c r="K27" s="3"/>
      <c r="L27" s="2"/>
      <c r="M27" s="2"/>
      <c r="N27" s="4"/>
      <c r="O27" s="4"/>
      <c r="P27" s="2"/>
      <c r="Q27" s="2"/>
      <c r="R27" s="2"/>
      <c r="S27" s="2"/>
      <c r="T27" s="2"/>
      <c r="U27" s="2" t="s">
        <v>132</v>
      </c>
      <c r="V27" s="2"/>
    </row>
    <row r="28" spans="1:22" ht="58" customHeight="1" x14ac:dyDescent="0.2">
      <c r="A28" s="2" t="s">
        <v>170</v>
      </c>
      <c r="B28" s="2"/>
      <c r="C28" s="2" t="s">
        <v>158</v>
      </c>
      <c r="D28" s="2" t="s">
        <v>65</v>
      </c>
      <c r="E28" s="2" t="s">
        <v>66</v>
      </c>
      <c r="F28" s="2" t="s">
        <v>80</v>
      </c>
      <c r="G28" s="2" t="s">
        <v>159</v>
      </c>
      <c r="H28" s="2" t="s">
        <v>265</v>
      </c>
      <c r="I28" s="2"/>
      <c r="J28" s="3"/>
      <c r="K28" s="3"/>
      <c r="L28" s="2"/>
      <c r="M28" s="2"/>
      <c r="N28" s="4"/>
      <c r="O28" s="4"/>
      <c r="P28" s="2"/>
      <c r="Q28" s="2"/>
      <c r="R28" s="2"/>
      <c r="S28" s="2"/>
      <c r="T28" s="2"/>
      <c r="U28" s="2" t="s">
        <v>132</v>
      </c>
      <c r="V28" s="2"/>
    </row>
    <row r="29" spans="1:22" ht="58" customHeight="1" x14ac:dyDescent="0.2">
      <c r="A29" s="2" t="s">
        <v>171</v>
      </c>
      <c r="B29" s="2"/>
      <c r="C29" s="2" t="s">
        <v>161</v>
      </c>
      <c r="D29" s="2" t="s">
        <v>65</v>
      </c>
      <c r="E29" s="2" t="s">
        <v>66</v>
      </c>
      <c r="F29" s="2" t="s">
        <v>80</v>
      </c>
      <c r="G29" s="2" t="s">
        <v>159</v>
      </c>
      <c r="H29" s="2" t="s">
        <v>265</v>
      </c>
      <c r="I29" s="2"/>
      <c r="J29" s="3"/>
      <c r="K29" s="3"/>
      <c r="L29" s="2"/>
      <c r="M29" s="2"/>
      <c r="N29" s="4"/>
      <c r="O29" s="4"/>
      <c r="P29" s="2"/>
      <c r="Q29" s="2"/>
      <c r="R29" s="2"/>
      <c r="S29" s="2"/>
      <c r="T29" s="2"/>
      <c r="U29" s="2" t="s">
        <v>132</v>
      </c>
      <c r="V29" s="2"/>
    </row>
    <row r="30" spans="1:22" ht="58" customHeight="1" x14ac:dyDescent="0.2">
      <c r="A30" s="2" t="s">
        <v>172</v>
      </c>
      <c r="B30" s="2"/>
      <c r="C30" s="2" t="s">
        <v>163</v>
      </c>
      <c r="D30" s="2" t="s">
        <v>65</v>
      </c>
      <c r="E30" s="2" t="s">
        <v>66</v>
      </c>
      <c r="F30" s="2" t="s">
        <v>80</v>
      </c>
      <c r="G30" s="2" t="s">
        <v>159</v>
      </c>
      <c r="H30" s="2" t="s">
        <v>265</v>
      </c>
      <c r="I30" s="2"/>
      <c r="J30" s="3"/>
      <c r="K30" s="3"/>
      <c r="L30" s="2"/>
      <c r="M30" s="2"/>
      <c r="N30" s="4"/>
      <c r="O30" s="4"/>
      <c r="P30" s="2"/>
      <c r="Q30" s="2"/>
      <c r="R30" s="2"/>
      <c r="S30" s="2"/>
      <c r="T30" s="2"/>
      <c r="U30" s="2" t="s">
        <v>132</v>
      </c>
      <c r="V30" s="2"/>
    </row>
    <row r="31" spans="1:22" ht="58" customHeight="1" x14ac:dyDescent="0.2">
      <c r="A31" s="2" t="s">
        <v>173</v>
      </c>
      <c r="B31" s="2"/>
      <c r="C31" s="2" t="s">
        <v>165</v>
      </c>
      <c r="D31" s="2" t="s">
        <v>65</v>
      </c>
      <c r="E31" s="2" t="s">
        <v>66</v>
      </c>
      <c r="F31" s="2" t="s">
        <v>80</v>
      </c>
      <c r="G31" s="2" t="s">
        <v>159</v>
      </c>
      <c r="H31" s="2" t="s">
        <v>265</v>
      </c>
      <c r="I31" s="2"/>
      <c r="J31" s="3"/>
      <c r="K31" s="3"/>
      <c r="L31" s="2"/>
      <c r="M31" s="2"/>
      <c r="N31" s="4"/>
      <c r="O31" s="4"/>
      <c r="P31" s="2"/>
      <c r="Q31" s="2"/>
      <c r="R31" s="2"/>
      <c r="S31" s="2"/>
      <c r="T31" s="2"/>
      <c r="U31" s="2" t="s">
        <v>132</v>
      </c>
      <c r="V31" s="2"/>
    </row>
    <row r="32" spans="1:22" ht="58" customHeight="1" x14ac:dyDescent="0.2">
      <c r="A32" s="2" t="s">
        <v>174</v>
      </c>
      <c r="B32" s="2"/>
      <c r="C32" s="2" t="s">
        <v>175</v>
      </c>
      <c r="D32" s="2" t="s">
        <v>54</v>
      </c>
      <c r="E32" s="2" t="s">
        <v>55</v>
      </c>
      <c r="F32" s="2" t="s">
        <v>80</v>
      </c>
      <c r="G32" s="2" t="s">
        <v>176</v>
      </c>
      <c r="H32" s="2" t="s">
        <v>265</v>
      </c>
      <c r="I32" s="2"/>
      <c r="J32" s="3"/>
      <c r="K32" s="3"/>
      <c r="L32" s="2"/>
      <c r="M32" s="2"/>
      <c r="N32" s="4"/>
      <c r="O32" s="4"/>
      <c r="P32" s="2"/>
      <c r="Q32" s="2"/>
      <c r="R32" s="2"/>
      <c r="S32" s="2"/>
      <c r="T32" s="2"/>
      <c r="U32" s="2" t="s">
        <v>132</v>
      </c>
      <c r="V32" s="2"/>
    </row>
    <row r="33" spans="1:22" ht="58" customHeight="1" x14ac:dyDescent="0.2">
      <c r="A33" s="2" t="s">
        <v>177</v>
      </c>
      <c r="B33" s="2"/>
      <c r="C33" s="2" t="s">
        <v>178</v>
      </c>
      <c r="D33" s="2" t="s">
        <v>54</v>
      </c>
      <c r="E33" s="2" t="s">
        <v>55</v>
      </c>
      <c r="F33" s="2" t="s">
        <v>80</v>
      </c>
      <c r="G33" s="2" t="s">
        <v>176</v>
      </c>
      <c r="H33" s="2" t="s">
        <v>265</v>
      </c>
      <c r="I33" s="2"/>
      <c r="J33" s="3"/>
      <c r="K33" s="3"/>
      <c r="L33" s="2"/>
      <c r="M33" s="2"/>
      <c r="N33" s="4"/>
      <c r="O33" s="4"/>
      <c r="P33" s="2"/>
      <c r="Q33" s="2"/>
      <c r="R33" s="2"/>
      <c r="S33" s="2"/>
      <c r="T33" s="2"/>
      <c r="U33" s="2" t="s">
        <v>132</v>
      </c>
      <c r="V33" s="2"/>
    </row>
    <row r="34" spans="1:22" ht="58" customHeight="1" x14ac:dyDescent="0.2">
      <c r="A34" s="2" t="s">
        <v>179</v>
      </c>
      <c r="B34" s="2"/>
      <c r="C34" s="2" t="s">
        <v>180</v>
      </c>
      <c r="D34" s="2" t="s">
        <v>54</v>
      </c>
      <c r="E34" s="2" t="s">
        <v>55</v>
      </c>
      <c r="F34" s="2" t="s">
        <v>80</v>
      </c>
      <c r="G34" s="2" t="s">
        <v>176</v>
      </c>
      <c r="H34" s="2" t="s">
        <v>265</v>
      </c>
      <c r="I34" s="2"/>
      <c r="J34" s="3"/>
      <c r="K34" s="3"/>
      <c r="L34" s="2"/>
      <c r="M34" s="2"/>
      <c r="N34" s="4"/>
      <c r="O34" s="4"/>
      <c r="P34" s="2"/>
      <c r="Q34" s="2"/>
      <c r="R34" s="2"/>
      <c r="S34" s="2"/>
      <c r="T34" s="2"/>
      <c r="U34" s="2" t="s">
        <v>132</v>
      </c>
      <c r="V34" s="2"/>
    </row>
    <row r="35" spans="1:22" ht="58" customHeight="1" x14ac:dyDescent="0.2">
      <c r="A35" s="2" t="s">
        <v>181</v>
      </c>
      <c r="B35" s="2"/>
      <c r="C35" s="2" t="s">
        <v>182</v>
      </c>
      <c r="D35" s="2" t="s">
        <v>54</v>
      </c>
      <c r="E35" s="2" t="s">
        <v>55</v>
      </c>
      <c r="F35" s="2" t="s">
        <v>80</v>
      </c>
      <c r="G35" s="2" t="s">
        <v>176</v>
      </c>
      <c r="H35" s="2" t="s">
        <v>265</v>
      </c>
      <c r="I35" s="2"/>
      <c r="J35" s="3"/>
      <c r="K35" s="3"/>
      <c r="L35" s="2"/>
      <c r="M35" s="2"/>
      <c r="N35" s="4"/>
      <c r="O35" s="4"/>
      <c r="P35" s="2"/>
      <c r="Q35" s="2"/>
      <c r="R35" s="2"/>
      <c r="S35" s="2"/>
      <c r="T35" s="2"/>
      <c r="U35" s="2" t="s">
        <v>132</v>
      </c>
      <c r="V35" s="2"/>
    </row>
    <row r="36" spans="1:22" ht="58" customHeight="1" x14ac:dyDescent="0.2">
      <c r="A36" s="2" t="s">
        <v>183</v>
      </c>
      <c r="B36" s="2"/>
      <c r="C36" s="2" t="s">
        <v>175</v>
      </c>
      <c r="D36" s="2" t="s">
        <v>61</v>
      </c>
      <c r="E36" s="2" t="s">
        <v>62</v>
      </c>
      <c r="F36" s="2" t="s">
        <v>80</v>
      </c>
      <c r="G36" s="2" t="s">
        <v>176</v>
      </c>
      <c r="H36" s="2" t="s">
        <v>265</v>
      </c>
      <c r="I36" s="2"/>
      <c r="J36" s="3"/>
      <c r="K36" s="3"/>
      <c r="L36" s="2"/>
      <c r="M36" s="2"/>
      <c r="N36" s="4"/>
      <c r="O36" s="4"/>
      <c r="P36" s="2"/>
      <c r="Q36" s="2"/>
      <c r="R36" s="2"/>
      <c r="S36" s="2"/>
      <c r="T36" s="2"/>
      <c r="U36" s="2" t="s">
        <v>132</v>
      </c>
      <c r="V36" s="2"/>
    </row>
    <row r="37" spans="1:22" ht="58" customHeight="1" x14ac:dyDescent="0.2">
      <c r="A37" s="2" t="s">
        <v>184</v>
      </c>
      <c r="B37" s="2"/>
      <c r="C37" s="2" t="s">
        <v>178</v>
      </c>
      <c r="D37" s="2" t="s">
        <v>61</v>
      </c>
      <c r="E37" s="2" t="s">
        <v>62</v>
      </c>
      <c r="F37" s="2" t="s">
        <v>80</v>
      </c>
      <c r="G37" s="2" t="s">
        <v>176</v>
      </c>
      <c r="H37" s="2" t="s">
        <v>265</v>
      </c>
      <c r="I37" s="2"/>
      <c r="J37" s="3"/>
      <c r="K37" s="3"/>
      <c r="L37" s="2"/>
      <c r="M37" s="2"/>
      <c r="N37" s="4"/>
      <c r="O37" s="4"/>
      <c r="P37" s="2"/>
      <c r="Q37" s="2"/>
      <c r="R37" s="2"/>
      <c r="S37" s="2"/>
      <c r="T37" s="2"/>
      <c r="U37" s="2" t="s">
        <v>132</v>
      </c>
      <c r="V37" s="2"/>
    </row>
    <row r="38" spans="1:22" ht="58" customHeight="1" x14ac:dyDescent="0.2">
      <c r="A38" s="2" t="s">
        <v>185</v>
      </c>
      <c r="B38" s="2"/>
      <c r="C38" s="2" t="s">
        <v>180</v>
      </c>
      <c r="D38" s="2" t="s">
        <v>61</v>
      </c>
      <c r="E38" s="2" t="s">
        <v>62</v>
      </c>
      <c r="F38" s="2" t="s">
        <v>80</v>
      </c>
      <c r="G38" s="2" t="s">
        <v>176</v>
      </c>
      <c r="H38" s="2" t="s">
        <v>265</v>
      </c>
      <c r="I38" s="2"/>
      <c r="J38" s="3"/>
      <c r="K38" s="3"/>
      <c r="L38" s="2"/>
      <c r="M38" s="2"/>
      <c r="N38" s="4"/>
      <c r="O38" s="4"/>
      <c r="P38" s="2"/>
      <c r="Q38" s="2"/>
      <c r="R38" s="2"/>
      <c r="S38" s="2"/>
      <c r="T38" s="2"/>
      <c r="U38" s="2" t="s">
        <v>132</v>
      </c>
      <c r="V38" s="2"/>
    </row>
    <row r="39" spans="1:22" ht="58" customHeight="1" x14ac:dyDescent="0.2">
      <c r="A39" s="2" t="s">
        <v>186</v>
      </c>
      <c r="B39" s="2"/>
      <c r="C39" s="2" t="s">
        <v>182</v>
      </c>
      <c r="D39" s="2" t="s">
        <v>61</v>
      </c>
      <c r="E39" s="2" t="s">
        <v>62</v>
      </c>
      <c r="F39" s="2" t="s">
        <v>80</v>
      </c>
      <c r="G39" s="2" t="s">
        <v>176</v>
      </c>
      <c r="H39" s="2" t="s">
        <v>265</v>
      </c>
      <c r="I39" s="2"/>
      <c r="J39" s="3"/>
      <c r="K39" s="3"/>
      <c r="L39" s="2"/>
      <c r="M39" s="2"/>
      <c r="N39" s="4"/>
      <c r="O39" s="4"/>
      <c r="P39" s="2"/>
      <c r="Q39" s="2"/>
      <c r="R39" s="2"/>
      <c r="S39" s="2"/>
      <c r="T39" s="2"/>
      <c r="U39" s="2" t="s">
        <v>132</v>
      </c>
      <c r="V39" s="2"/>
    </row>
    <row r="40" spans="1:22" ht="58" customHeight="1" x14ac:dyDescent="0.2">
      <c r="A40" s="2" t="s">
        <v>187</v>
      </c>
      <c r="B40" s="2"/>
      <c r="C40" s="2" t="s">
        <v>175</v>
      </c>
      <c r="D40" s="2" t="s">
        <v>65</v>
      </c>
      <c r="E40" s="2" t="s">
        <v>66</v>
      </c>
      <c r="F40" s="2" t="s">
        <v>80</v>
      </c>
      <c r="G40" s="2" t="s">
        <v>176</v>
      </c>
      <c r="H40" s="2" t="s">
        <v>265</v>
      </c>
      <c r="I40" s="2"/>
      <c r="J40" s="3"/>
      <c r="K40" s="3"/>
      <c r="L40" s="2"/>
      <c r="M40" s="2"/>
      <c r="N40" s="4"/>
      <c r="O40" s="4"/>
      <c r="P40" s="2"/>
      <c r="Q40" s="2"/>
      <c r="R40" s="2"/>
      <c r="S40" s="2"/>
      <c r="T40" s="2"/>
      <c r="U40" s="2" t="s">
        <v>132</v>
      </c>
      <c r="V40" s="2"/>
    </row>
    <row r="41" spans="1:22" ht="58" customHeight="1" x14ac:dyDescent="0.2">
      <c r="A41" s="2" t="s">
        <v>188</v>
      </c>
      <c r="B41" s="2"/>
      <c r="C41" s="2" t="s">
        <v>178</v>
      </c>
      <c r="D41" s="2" t="s">
        <v>65</v>
      </c>
      <c r="E41" s="2" t="s">
        <v>66</v>
      </c>
      <c r="F41" s="2" t="s">
        <v>80</v>
      </c>
      <c r="G41" s="2" t="s">
        <v>176</v>
      </c>
      <c r="H41" s="2" t="s">
        <v>265</v>
      </c>
      <c r="I41" s="2"/>
      <c r="J41" s="3"/>
      <c r="K41" s="3"/>
      <c r="L41" s="2"/>
      <c r="M41" s="2"/>
      <c r="N41" s="4"/>
      <c r="O41" s="4"/>
      <c r="P41" s="2"/>
      <c r="Q41" s="2"/>
      <c r="R41" s="2"/>
      <c r="S41" s="2"/>
      <c r="T41" s="2"/>
      <c r="U41" s="2" t="s">
        <v>132</v>
      </c>
      <c r="V41" s="2"/>
    </row>
    <row r="42" spans="1:22" ht="58" customHeight="1" x14ac:dyDescent="0.2">
      <c r="A42" s="2" t="s">
        <v>189</v>
      </c>
      <c r="B42" s="2"/>
      <c r="C42" s="2" t="s">
        <v>180</v>
      </c>
      <c r="D42" s="2" t="s">
        <v>65</v>
      </c>
      <c r="E42" s="2" t="s">
        <v>66</v>
      </c>
      <c r="F42" s="2" t="s">
        <v>80</v>
      </c>
      <c r="G42" s="2" t="s">
        <v>176</v>
      </c>
      <c r="H42" s="2" t="s">
        <v>265</v>
      </c>
      <c r="I42" s="2"/>
      <c r="J42" s="3"/>
      <c r="K42" s="3"/>
      <c r="L42" s="2"/>
      <c r="M42" s="2"/>
      <c r="N42" s="4"/>
      <c r="O42" s="4"/>
      <c r="P42" s="2"/>
      <c r="Q42" s="2"/>
      <c r="R42" s="2"/>
      <c r="S42" s="2"/>
      <c r="T42" s="2"/>
      <c r="U42" s="2" t="s">
        <v>132</v>
      </c>
      <c r="V42" s="2"/>
    </row>
    <row r="43" spans="1:22" ht="58" customHeight="1" x14ac:dyDescent="0.2">
      <c r="A43" s="2" t="s">
        <v>190</v>
      </c>
      <c r="B43" s="2"/>
      <c r="C43" s="2" t="s">
        <v>182</v>
      </c>
      <c r="D43" s="2" t="s">
        <v>65</v>
      </c>
      <c r="E43" s="2" t="s">
        <v>66</v>
      </c>
      <c r="F43" s="2" t="s">
        <v>80</v>
      </c>
      <c r="G43" s="2" t="s">
        <v>176</v>
      </c>
      <c r="H43" s="2" t="s">
        <v>265</v>
      </c>
      <c r="I43" s="2"/>
      <c r="J43" s="3"/>
      <c r="K43" s="3"/>
      <c r="L43" s="2"/>
      <c r="M43" s="2"/>
      <c r="N43" s="4"/>
      <c r="O43" s="4"/>
      <c r="P43" s="2"/>
      <c r="Q43" s="2"/>
      <c r="R43" s="2"/>
      <c r="S43" s="2"/>
      <c r="T43" s="2"/>
      <c r="U43" s="2" t="s">
        <v>132</v>
      </c>
      <c r="V43" s="2"/>
    </row>
    <row r="44" spans="1:22" ht="58" customHeight="1" x14ac:dyDescent="0.2">
      <c r="A44" s="2" t="s">
        <v>191</v>
      </c>
      <c r="B44" s="2"/>
      <c r="C44" s="2" t="s">
        <v>192</v>
      </c>
      <c r="D44" s="2" t="s">
        <v>54</v>
      </c>
      <c r="E44" s="2" t="s">
        <v>55</v>
      </c>
      <c r="F44" s="2" t="s">
        <v>80</v>
      </c>
      <c r="G44" s="2" t="s">
        <v>193</v>
      </c>
      <c r="H44" s="2" t="s">
        <v>265</v>
      </c>
      <c r="I44" s="2"/>
      <c r="J44" s="3"/>
      <c r="K44" s="3"/>
      <c r="L44" s="2"/>
      <c r="M44" s="2"/>
      <c r="N44" s="4"/>
      <c r="O44" s="4"/>
      <c r="P44" s="2"/>
      <c r="Q44" s="2"/>
      <c r="R44" s="2"/>
      <c r="S44" s="2"/>
      <c r="T44" s="2"/>
      <c r="U44" s="2" t="s">
        <v>132</v>
      </c>
      <c r="V44" s="2"/>
    </row>
    <row r="45" spans="1:22" ht="58" customHeight="1" x14ac:dyDescent="0.2">
      <c r="A45" s="2" t="s">
        <v>194</v>
      </c>
      <c r="B45" s="2"/>
      <c r="C45" s="2" t="s">
        <v>195</v>
      </c>
      <c r="D45" s="2" t="s">
        <v>54</v>
      </c>
      <c r="E45" s="2" t="s">
        <v>55</v>
      </c>
      <c r="F45" s="2" t="s">
        <v>80</v>
      </c>
      <c r="G45" s="2" t="s">
        <v>193</v>
      </c>
      <c r="H45" s="2" t="s">
        <v>265</v>
      </c>
      <c r="I45" s="2"/>
      <c r="J45" s="3"/>
      <c r="K45" s="3"/>
      <c r="L45" s="2"/>
      <c r="M45" s="2"/>
      <c r="N45" s="4"/>
      <c r="O45" s="4"/>
      <c r="P45" s="2"/>
      <c r="Q45" s="2"/>
      <c r="R45" s="2"/>
      <c r="S45" s="2"/>
      <c r="T45" s="2"/>
      <c r="U45" s="2" t="s">
        <v>132</v>
      </c>
      <c r="V45" s="2"/>
    </row>
    <row r="46" spans="1:22" ht="58" customHeight="1" x14ac:dyDescent="0.2">
      <c r="A46" s="2" t="s">
        <v>196</v>
      </c>
      <c r="B46" s="2"/>
      <c r="C46" s="2" t="s">
        <v>197</v>
      </c>
      <c r="D46" s="2" t="s">
        <v>54</v>
      </c>
      <c r="E46" s="2" t="s">
        <v>55</v>
      </c>
      <c r="F46" s="2" t="s">
        <v>80</v>
      </c>
      <c r="G46" s="2" t="s">
        <v>193</v>
      </c>
      <c r="H46" s="2" t="s">
        <v>265</v>
      </c>
      <c r="I46" s="2"/>
      <c r="J46" s="3"/>
      <c r="K46" s="3"/>
      <c r="L46" s="2"/>
      <c r="M46" s="2"/>
      <c r="N46" s="4"/>
      <c r="O46" s="4"/>
      <c r="P46" s="2"/>
      <c r="Q46" s="2"/>
      <c r="R46" s="2"/>
      <c r="S46" s="2"/>
      <c r="T46" s="2"/>
      <c r="U46" s="2" t="s">
        <v>132</v>
      </c>
      <c r="V46" s="2"/>
    </row>
    <row r="47" spans="1:22" ht="58" customHeight="1" x14ac:dyDescent="0.2">
      <c r="A47" s="2" t="s">
        <v>198</v>
      </c>
      <c r="B47" s="2"/>
      <c r="C47" s="2" t="s">
        <v>192</v>
      </c>
      <c r="D47" s="2" t="s">
        <v>61</v>
      </c>
      <c r="E47" s="2" t="s">
        <v>62</v>
      </c>
      <c r="F47" s="2" t="s">
        <v>80</v>
      </c>
      <c r="G47" s="2" t="s">
        <v>193</v>
      </c>
      <c r="H47" s="2" t="s">
        <v>265</v>
      </c>
      <c r="I47" s="2"/>
      <c r="J47" s="3"/>
      <c r="K47" s="3"/>
      <c r="L47" s="2"/>
      <c r="M47" s="2"/>
      <c r="N47" s="4"/>
      <c r="O47" s="4"/>
      <c r="P47" s="2"/>
      <c r="Q47" s="2"/>
      <c r="R47" s="2"/>
      <c r="S47" s="2"/>
      <c r="T47" s="2"/>
      <c r="U47" s="2" t="s">
        <v>132</v>
      </c>
      <c r="V47" s="2"/>
    </row>
    <row r="48" spans="1:22" ht="58" customHeight="1" x14ac:dyDescent="0.2">
      <c r="A48" s="2" t="s">
        <v>199</v>
      </c>
      <c r="B48" s="2"/>
      <c r="C48" s="2" t="s">
        <v>195</v>
      </c>
      <c r="D48" s="2" t="s">
        <v>61</v>
      </c>
      <c r="E48" s="2" t="s">
        <v>62</v>
      </c>
      <c r="F48" s="2" t="s">
        <v>80</v>
      </c>
      <c r="G48" s="2" t="s">
        <v>193</v>
      </c>
      <c r="H48" s="2" t="s">
        <v>265</v>
      </c>
      <c r="I48" s="2"/>
      <c r="J48" s="3"/>
      <c r="K48" s="3"/>
      <c r="L48" s="2"/>
      <c r="M48" s="2"/>
      <c r="N48" s="4"/>
      <c r="O48" s="4"/>
      <c r="P48" s="2"/>
      <c r="Q48" s="2"/>
      <c r="R48" s="2"/>
      <c r="S48" s="2"/>
      <c r="T48" s="2"/>
      <c r="U48" s="2" t="s">
        <v>132</v>
      </c>
      <c r="V48" s="2"/>
    </row>
    <row r="49" spans="1:22" ht="58" customHeight="1" x14ac:dyDescent="0.2">
      <c r="A49" s="2" t="s">
        <v>200</v>
      </c>
      <c r="B49" s="2"/>
      <c r="C49" s="2" t="s">
        <v>197</v>
      </c>
      <c r="D49" s="2" t="s">
        <v>61</v>
      </c>
      <c r="E49" s="2" t="s">
        <v>62</v>
      </c>
      <c r="F49" s="2" t="s">
        <v>80</v>
      </c>
      <c r="G49" s="2" t="s">
        <v>193</v>
      </c>
      <c r="H49" s="2" t="s">
        <v>265</v>
      </c>
      <c r="I49" s="2"/>
      <c r="J49" s="3"/>
      <c r="K49" s="3"/>
      <c r="L49" s="2"/>
      <c r="M49" s="2"/>
      <c r="N49" s="4"/>
      <c r="O49" s="4"/>
      <c r="P49" s="2"/>
      <c r="Q49" s="2"/>
      <c r="R49" s="2"/>
      <c r="S49" s="2"/>
      <c r="T49" s="2"/>
      <c r="U49" s="2" t="s">
        <v>132</v>
      </c>
      <c r="V49" s="2"/>
    </row>
    <row r="50" spans="1:22" ht="58" customHeight="1" x14ac:dyDescent="0.2">
      <c r="A50" s="2" t="s">
        <v>201</v>
      </c>
      <c r="B50" s="2"/>
      <c r="C50" s="2" t="s">
        <v>192</v>
      </c>
      <c r="D50" s="2" t="s">
        <v>65</v>
      </c>
      <c r="E50" s="2" t="s">
        <v>66</v>
      </c>
      <c r="F50" s="2" t="s">
        <v>80</v>
      </c>
      <c r="G50" s="2" t="s">
        <v>193</v>
      </c>
      <c r="H50" s="2" t="s">
        <v>265</v>
      </c>
      <c r="I50" s="2"/>
      <c r="J50" s="3"/>
      <c r="K50" s="3"/>
      <c r="L50" s="2"/>
      <c r="M50" s="2"/>
      <c r="N50" s="4"/>
      <c r="O50" s="4"/>
      <c r="P50" s="2"/>
      <c r="Q50" s="2"/>
      <c r="R50" s="2"/>
      <c r="S50" s="2"/>
      <c r="T50" s="2"/>
      <c r="U50" s="2" t="s">
        <v>132</v>
      </c>
      <c r="V50" s="2"/>
    </row>
    <row r="51" spans="1:22" ht="58" customHeight="1" x14ac:dyDescent="0.2">
      <c r="A51" s="2" t="s">
        <v>202</v>
      </c>
      <c r="B51" s="2"/>
      <c r="C51" s="2" t="s">
        <v>195</v>
      </c>
      <c r="D51" s="2" t="s">
        <v>65</v>
      </c>
      <c r="E51" s="2" t="s">
        <v>66</v>
      </c>
      <c r="F51" s="2" t="s">
        <v>80</v>
      </c>
      <c r="G51" s="2" t="s">
        <v>193</v>
      </c>
      <c r="H51" s="2" t="s">
        <v>265</v>
      </c>
      <c r="I51" s="2"/>
      <c r="J51" s="3"/>
      <c r="K51" s="3"/>
      <c r="L51" s="2"/>
      <c r="M51" s="2"/>
      <c r="N51" s="4"/>
      <c r="O51" s="4"/>
      <c r="P51" s="2"/>
      <c r="Q51" s="2"/>
      <c r="R51" s="2"/>
      <c r="S51" s="2"/>
      <c r="T51" s="2"/>
      <c r="U51" s="2" t="s">
        <v>132</v>
      </c>
      <c r="V51" s="2"/>
    </row>
    <row r="52" spans="1:22" ht="58" customHeight="1" x14ac:dyDescent="0.2">
      <c r="A52" s="2" t="s">
        <v>203</v>
      </c>
      <c r="B52" s="2"/>
      <c r="C52" s="2" t="s">
        <v>197</v>
      </c>
      <c r="D52" s="2" t="s">
        <v>65</v>
      </c>
      <c r="E52" s="2" t="s">
        <v>66</v>
      </c>
      <c r="F52" s="2" t="s">
        <v>80</v>
      </c>
      <c r="G52" s="2" t="s">
        <v>193</v>
      </c>
      <c r="H52" s="2" t="s">
        <v>265</v>
      </c>
      <c r="I52" s="2"/>
      <c r="J52" s="3"/>
      <c r="K52" s="3"/>
      <c r="L52" s="2"/>
      <c r="M52" s="2"/>
      <c r="N52" s="4"/>
      <c r="O52" s="4"/>
      <c r="P52" s="2"/>
      <c r="Q52" s="2"/>
      <c r="R52" s="2"/>
      <c r="S52" s="2"/>
      <c r="T52" s="2"/>
      <c r="U52" s="2" t="s">
        <v>132</v>
      </c>
      <c r="V52" s="2"/>
    </row>
    <row r="53" spans="1:22" ht="58" customHeight="1" x14ac:dyDescent="0.2">
      <c r="A53" s="2" t="s">
        <v>204</v>
      </c>
      <c r="B53" s="2"/>
      <c r="C53" s="2" t="s">
        <v>205</v>
      </c>
      <c r="D53" s="2" t="s">
        <v>54</v>
      </c>
      <c r="E53" s="2" t="s">
        <v>55</v>
      </c>
      <c r="F53" s="2" t="s">
        <v>80</v>
      </c>
      <c r="G53" s="2" t="s">
        <v>206</v>
      </c>
      <c r="H53" s="2" t="s">
        <v>265</v>
      </c>
      <c r="I53" s="2"/>
      <c r="J53" s="3"/>
      <c r="K53" s="3"/>
      <c r="L53" s="2"/>
      <c r="M53" s="2"/>
      <c r="N53" s="4"/>
      <c r="O53" s="4"/>
      <c r="P53" s="2"/>
      <c r="Q53" s="2"/>
      <c r="R53" s="2"/>
      <c r="S53" s="2"/>
      <c r="T53" s="2"/>
      <c r="U53" s="2" t="s">
        <v>132</v>
      </c>
      <c r="V53" s="2"/>
    </row>
    <row r="54" spans="1:22" ht="58" customHeight="1" x14ac:dyDescent="0.2">
      <c r="A54" s="2" t="s">
        <v>208</v>
      </c>
      <c r="B54" s="2"/>
      <c r="C54" s="2" t="s">
        <v>209</v>
      </c>
      <c r="D54" s="2" t="s">
        <v>54</v>
      </c>
      <c r="E54" s="2" t="s">
        <v>55</v>
      </c>
      <c r="F54" s="2" t="s">
        <v>80</v>
      </c>
      <c r="G54" s="2" t="s">
        <v>206</v>
      </c>
      <c r="H54" s="2" t="s">
        <v>265</v>
      </c>
      <c r="I54" s="2"/>
      <c r="J54" s="3"/>
      <c r="K54" s="3"/>
      <c r="L54" s="2"/>
      <c r="M54" s="2"/>
      <c r="N54" s="4"/>
      <c r="O54" s="4"/>
      <c r="P54" s="2"/>
      <c r="Q54" s="2"/>
      <c r="R54" s="2"/>
      <c r="S54" s="2"/>
      <c r="T54" s="2"/>
      <c r="U54" s="2" t="s">
        <v>132</v>
      </c>
      <c r="V54" s="2"/>
    </row>
    <row r="55" spans="1:22" ht="58" customHeight="1" x14ac:dyDescent="0.2">
      <c r="A55" s="2" t="s">
        <v>210</v>
      </c>
      <c r="B55" s="2"/>
      <c r="C55" s="2" t="s">
        <v>211</v>
      </c>
      <c r="D55" s="2" t="s">
        <v>54</v>
      </c>
      <c r="E55" s="2" t="s">
        <v>55</v>
      </c>
      <c r="F55" s="2" t="s">
        <v>80</v>
      </c>
      <c r="G55" s="2" t="s">
        <v>206</v>
      </c>
      <c r="H55" s="2" t="s">
        <v>265</v>
      </c>
      <c r="I55" s="2"/>
      <c r="J55" s="3"/>
      <c r="K55" s="3"/>
      <c r="L55" s="2"/>
      <c r="M55" s="2"/>
      <c r="N55" s="4"/>
      <c r="O55" s="4"/>
      <c r="P55" s="2"/>
      <c r="Q55" s="2"/>
      <c r="R55" s="2"/>
      <c r="S55" s="2"/>
      <c r="T55" s="2"/>
      <c r="U55" s="2" t="s">
        <v>132</v>
      </c>
      <c r="V55" s="2"/>
    </row>
    <row r="56" spans="1:22" ht="58" customHeight="1" x14ac:dyDescent="0.2">
      <c r="A56" s="2" t="s">
        <v>212</v>
      </c>
      <c r="B56" s="2"/>
      <c r="C56" s="2" t="s">
        <v>205</v>
      </c>
      <c r="D56" s="2" t="s">
        <v>67</v>
      </c>
      <c r="E56" s="2" t="s">
        <v>213</v>
      </c>
      <c r="F56" s="2" t="s">
        <v>80</v>
      </c>
      <c r="G56" s="2" t="s">
        <v>206</v>
      </c>
      <c r="H56" s="2" t="s">
        <v>265</v>
      </c>
      <c r="I56" s="2"/>
      <c r="J56" s="3"/>
      <c r="K56" s="3"/>
      <c r="L56" s="2"/>
      <c r="M56" s="2"/>
      <c r="N56" s="4"/>
      <c r="O56" s="4"/>
      <c r="P56" s="2"/>
      <c r="Q56" s="2"/>
      <c r="R56" s="2"/>
      <c r="S56" s="2"/>
      <c r="T56" s="2"/>
      <c r="U56" s="2" t="s">
        <v>132</v>
      </c>
      <c r="V56" s="2"/>
    </row>
    <row r="57" spans="1:22" ht="58" customHeight="1" x14ac:dyDescent="0.2">
      <c r="A57" s="2" t="s">
        <v>214</v>
      </c>
      <c r="B57" s="2"/>
      <c r="C57" s="2" t="s">
        <v>209</v>
      </c>
      <c r="D57" s="2" t="s">
        <v>67</v>
      </c>
      <c r="E57" s="2" t="s">
        <v>213</v>
      </c>
      <c r="F57" s="2" t="s">
        <v>80</v>
      </c>
      <c r="G57" s="2" t="s">
        <v>206</v>
      </c>
      <c r="H57" s="2" t="s">
        <v>265</v>
      </c>
      <c r="I57" s="2"/>
      <c r="J57" s="3"/>
      <c r="K57" s="3"/>
      <c r="L57" s="2"/>
      <c r="M57" s="2"/>
      <c r="N57" s="4"/>
      <c r="O57" s="4"/>
      <c r="P57" s="2"/>
      <c r="Q57" s="2"/>
      <c r="R57" s="2"/>
      <c r="S57" s="2"/>
      <c r="T57" s="2"/>
      <c r="U57" s="2" t="s">
        <v>132</v>
      </c>
      <c r="V57" s="2"/>
    </row>
    <row r="58" spans="1:22" ht="58" customHeight="1" x14ac:dyDescent="0.2">
      <c r="A58" s="2" t="s">
        <v>215</v>
      </c>
      <c r="B58" s="2"/>
      <c r="C58" s="2" t="s">
        <v>211</v>
      </c>
      <c r="D58" s="2" t="s">
        <v>67</v>
      </c>
      <c r="E58" s="2" t="s">
        <v>213</v>
      </c>
      <c r="F58" s="2" t="s">
        <v>80</v>
      </c>
      <c r="G58" s="2" t="s">
        <v>206</v>
      </c>
      <c r="H58" s="2" t="s">
        <v>265</v>
      </c>
      <c r="I58" s="2"/>
      <c r="J58" s="3"/>
      <c r="K58" s="3"/>
      <c r="L58" s="2"/>
      <c r="M58" s="2"/>
      <c r="N58" s="4"/>
      <c r="O58" s="4"/>
      <c r="P58" s="2"/>
      <c r="Q58" s="2"/>
      <c r="R58" s="2"/>
      <c r="S58" s="2"/>
      <c r="T58" s="2"/>
      <c r="U58" s="2" t="s">
        <v>132</v>
      </c>
      <c r="V58" s="2"/>
    </row>
    <row r="59" spans="1:22" ht="58" customHeight="1" x14ac:dyDescent="0.2">
      <c r="A59" s="2" t="s">
        <v>216</v>
      </c>
      <c r="B59" s="2"/>
      <c r="C59" s="2" t="s">
        <v>217</v>
      </c>
      <c r="D59" s="2" t="s">
        <v>54</v>
      </c>
      <c r="E59" s="2" t="s">
        <v>55</v>
      </c>
      <c r="F59" s="2" t="s">
        <v>80</v>
      </c>
      <c r="G59" s="2" t="s">
        <v>218</v>
      </c>
      <c r="H59" s="2" t="s">
        <v>265</v>
      </c>
      <c r="I59" s="2"/>
      <c r="J59" s="3"/>
      <c r="K59" s="3"/>
      <c r="L59" s="2"/>
      <c r="M59" s="2"/>
      <c r="N59" s="4"/>
      <c r="O59" s="4"/>
      <c r="P59" s="2"/>
      <c r="Q59" s="2"/>
      <c r="R59" s="2"/>
      <c r="S59" s="2"/>
      <c r="T59" s="2"/>
      <c r="U59" s="2" t="s">
        <v>132</v>
      </c>
      <c r="V59" s="2"/>
    </row>
    <row r="60" spans="1:22" ht="58" customHeight="1" x14ac:dyDescent="0.2">
      <c r="A60" s="2" t="s">
        <v>220</v>
      </c>
      <c r="B60" s="2"/>
      <c r="C60" s="2" t="s">
        <v>221</v>
      </c>
      <c r="D60" s="2" t="s">
        <v>54</v>
      </c>
      <c r="E60" s="2" t="s">
        <v>55</v>
      </c>
      <c r="F60" s="2" t="s">
        <v>80</v>
      </c>
      <c r="G60" s="2" t="s">
        <v>218</v>
      </c>
      <c r="H60" s="2" t="s">
        <v>265</v>
      </c>
      <c r="I60" s="2"/>
      <c r="J60" s="3"/>
      <c r="K60" s="3"/>
      <c r="L60" s="2"/>
      <c r="M60" s="2"/>
      <c r="N60" s="4"/>
      <c r="O60" s="4"/>
      <c r="P60" s="2"/>
      <c r="Q60" s="2"/>
      <c r="R60" s="2"/>
      <c r="S60" s="2"/>
      <c r="T60" s="2"/>
      <c r="U60" s="2" t="s">
        <v>132</v>
      </c>
      <c r="V60" s="2"/>
    </row>
    <row r="61" spans="1:22" ht="58" customHeight="1" x14ac:dyDescent="0.2">
      <c r="A61" s="2" t="s">
        <v>222</v>
      </c>
      <c r="B61" s="2"/>
      <c r="C61" s="2" t="s">
        <v>223</v>
      </c>
      <c r="D61" s="2" t="s">
        <v>54</v>
      </c>
      <c r="E61" s="2" t="s">
        <v>55</v>
      </c>
      <c r="F61" s="2" t="s">
        <v>80</v>
      </c>
      <c r="G61" s="2" t="s">
        <v>218</v>
      </c>
      <c r="H61" s="2" t="s">
        <v>265</v>
      </c>
      <c r="I61" s="2"/>
      <c r="J61" s="3"/>
      <c r="K61" s="3"/>
      <c r="L61" s="2"/>
      <c r="M61" s="2"/>
      <c r="N61" s="4"/>
      <c r="O61" s="4"/>
      <c r="P61" s="2"/>
      <c r="Q61" s="2"/>
      <c r="R61" s="2"/>
      <c r="S61" s="2"/>
      <c r="T61" s="2"/>
      <c r="U61" s="2" t="s">
        <v>132</v>
      </c>
      <c r="V61" s="2"/>
    </row>
    <row r="62" spans="1:22" ht="58" customHeight="1" x14ac:dyDescent="0.2">
      <c r="A62" s="2" t="s">
        <v>224</v>
      </c>
      <c r="B62" s="2"/>
      <c r="C62" s="2" t="s">
        <v>225</v>
      </c>
      <c r="D62" s="2" t="s">
        <v>54</v>
      </c>
      <c r="E62" s="2" t="s">
        <v>55</v>
      </c>
      <c r="F62" s="2" t="s">
        <v>80</v>
      </c>
      <c r="G62" s="2" t="s">
        <v>218</v>
      </c>
      <c r="H62" s="2" t="s">
        <v>265</v>
      </c>
      <c r="I62" s="2"/>
      <c r="J62" s="3"/>
      <c r="K62" s="3"/>
      <c r="L62" s="2"/>
      <c r="M62" s="2"/>
      <c r="N62" s="4"/>
      <c r="O62" s="4"/>
      <c r="P62" s="2"/>
      <c r="Q62" s="2"/>
      <c r="R62" s="2"/>
      <c r="S62" s="2"/>
      <c r="T62" s="2"/>
      <c r="U62" s="2" t="s">
        <v>132</v>
      </c>
      <c r="V62" s="2"/>
    </row>
    <row r="63" spans="1:22" ht="58" customHeight="1" x14ac:dyDescent="0.2">
      <c r="A63" s="2" t="s">
        <v>226</v>
      </c>
      <c r="B63" s="2"/>
      <c r="C63" s="2" t="s">
        <v>227</v>
      </c>
      <c r="D63" s="2" t="s">
        <v>54</v>
      </c>
      <c r="E63" s="2" t="s">
        <v>55</v>
      </c>
      <c r="F63" s="2" t="s">
        <v>80</v>
      </c>
      <c r="G63" s="2" t="s">
        <v>228</v>
      </c>
      <c r="H63" s="2" t="s">
        <v>265</v>
      </c>
      <c r="I63" s="2"/>
      <c r="J63" s="3"/>
      <c r="K63" s="3"/>
      <c r="L63" s="2"/>
      <c r="M63" s="2"/>
      <c r="N63" s="4"/>
      <c r="O63" s="4"/>
      <c r="P63" s="2"/>
      <c r="Q63" s="2"/>
      <c r="R63" s="2"/>
      <c r="S63" s="2"/>
      <c r="T63" s="2"/>
      <c r="U63" s="2" t="s">
        <v>132</v>
      </c>
      <c r="V63" s="2"/>
    </row>
    <row r="64" spans="1:22" ht="58" customHeight="1" x14ac:dyDescent="0.2">
      <c r="A64" s="2" t="s">
        <v>230</v>
      </c>
      <c r="B64" s="2"/>
      <c r="C64" s="2" t="s">
        <v>231</v>
      </c>
      <c r="D64" s="2" t="s">
        <v>54</v>
      </c>
      <c r="E64" s="2" t="s">
        <v>55</v>
      </c>
      <c r="F64" s="2" t="s">
        <v>80</v>
      </c>
      <c r="G64" s="2" t="s">
        <v>228</v>
      </c>
      <c r="H64" s="2" t="s">
        <v>265</v>
      </c>
      <c r="I64" s="2"/>
      <c r="J64" s="3"/>
      <c r="K64" s="3"/>
      <c r="L64" s="2"/>
      <c r="M64" s="2"/>
      <c r="N64" s="4"/>
      <c r="O64" s="4"/>
      <c r="P64" s="2"/>
      <c r="Q64" s="2"/>
      <c r="R64" s="2"/>
      <c r="S64" s="2"/>
      <c r="T64" s="2"/>
      <c r="U64" s="2" t="s">
        <v>132</v>
      </c>
      <c r="V64" s="2"/>
    </row>
    <row r="65" spans="1:22" ht="58" customHeight="1" x14ac:dyDescent="0.2">
      <c r="A65" s="2" t="s">
        <v>232</v>
      </c>
      <c r="B65" s="2"/>
      <c r="C65" s="2" t="s">
        <v>233</v>
      </c>
      <c r="D65" s="2" t="s">
        <v>54</v>
      </c>
      <c r="E65" s="2" t="s">
        <v>55</v>
      </c>
      <c r="F65" s="2" t="s">
        <v>80</v>
      </c>
      <c r="G65" s="2" t="s">
        <v>228</v>
      </c>
      <c r="H65" s="2" t="s">
        <v>265</v>
      </c>
      <c r="I65" s="2"/>
      <c r="J65" s="3"/>
      <c r="K65" s="3"/>
      <c r="L65" s="2"/>
      <c r="M65" s="2"/>
      <c r="N65" s="4"/>
      <c r="O65" s="4"/>
      <c r="P65" s="2"/>
      <c r="Q65" s="2"/>
      <c r="R65" s="2"/>
      <c r="S65" s="2"/>
      <c r="T65" s="2"/>
      <c r="U65" s="2" t="s">
        <v>132</v>
      </c>
      <c r="V65" s="2"/>
    </row>
    <row r="66" spans="1:22" ht="58" customHeight="1" x14ac:dyDescent="0.2">
      <c r="A66" s="2" t="s">
        <v>234</v>
      </c>
      <c r="B66" s="2"/>
      <c r="C66" s="2" t="s">
        <v>235</v>
      </c>
      <c r="D66" s="2" t="s">
        <v>54</v>
      </c>
      <c r="E66" s="2" t="s">
        <v>55</v>
      </c>
      <c r="F66" s="2" t="s">
        <v>80</v>
      </c>
      <c r="G66" s="2" t="s">
        <v>236</v>
      </c>
      <c r="H66" s="2" t="s">
        <v>265</v>
      </c>
      <c r="I66" s="2"/>
      <c r="J66" s="3"/>
      <c r="K66" s="3"/>
      <c r="L66" s="2"/>
      <c r="M66" s="2"/>
      <c r="N66" s="4"/>
      <c r="O66" s="4"/>
      <c r="P66" s="2"/>
      <c r="Q66" s="2"/>
      <c r="R66" s="2"/>
      <c r="S66" s="2"/>
      <c r="T66" s="2"/>
      <c r="U66" s="2" t="s">
        <v>132</v>
      </c>
      <c r="V66" s="2"/>
    </row>
    <row r="67" spans="1:22" ht="58" customHeight="1" x14ac:dyDescent="0.2">
      <c r="A67" s="2" t="s">
        <v>238</v>
      </c>
      <c r="B67" s="2"/>
      <c r="C67" s="2" t="s">
        <v>239</v>
      </c>
      <c r="D67" s="2" t="s">
        <v>54</v>
      </c>
      <c r="E67" s="2" t="s">
        <v>55</v>
      </c>
      <c r="F67" s="2" t="s">
        <v>80</v>
      </c>
      <c r="G67" s="2" t="s">
        <v>236</v>
      </c>
      <c r="H67" s="2" t="s">
        <v>265</v>
      </c>
      <c r="I67" s="2"/>
      <c r="J67" s="3"/>
      <c r="K67" s="3"/>
      <c r="L67" s="2"/>
      <c r="M67" s="2"/>
      <c r="N67" s="4"/>
      <c r="O67" s="4"/>
      <c r="P67" s="2"/>
      <c r="Q67" s="2"/>
      <c r="R67" s="2"/>
      <c r="S67" s="2"/>
      <c r="T67" s="2"/>
      <c r="U67" s="2" t="s">
        <v>132</v>
      </c>
      <c r="V67" s="2"/>
    </row>
    <row r="68" spans="1:22" ht="58" customHeight="1" x14ac:dyDescent="0.2">
      <c r="A68" s="2" t="s">
        <v>240</v>
      </c>
      <c r="B68" s="2"/>
      <c r="C68" s="2" t="s">
        <v>241</v>
      </c>
      <c r="D68" s="2" t="s">
        <v>54</v>
      </c>
      <c r="E68" s="2" t="s">
        <v>55</v>
      </c>
      <c r="F68" s="2" t="s">
        <v>80</v>
      </c>
      <c r="G68" s="2" t="s">
        <v>242</v>
      </c>
      <c r="H68" s="2" t="s">
        <v>265</v>
      </c>
      <c r="I68" s="2"/>
      <c r="J68" s="3"/>
      <c r="K68" s="3"/>
      <c r="L68" s="2"/>
      <c r="M68" s="2"/>
      <c r="N68" s="4"/>
      <c r="O68" s="4"/>
      <c r="P68" s="2"/>
      <c r="Q68" s="2"/>
      <c r="R68" s="2"/>
      <c r="S68" s="2"/>
      <c r="T68" s="2"/>
      <c r="U68" s="2" t="s">
        <v>132</v>
      </c>
      <c r="V68" s="2"/>
    </row>
    <row r="69" spans="1:22" ht="58" customHeight="1" x14ac:dyDescent="0.2">
      <c r="A69" s="2" t="s">
        <v>244</v>
      </c>
      <c r="B69" s="2"/>
      <c r="C69" s="2" t="s">
        <v>245</v>
      </c>
      <c r="D69" s="2" t="s">
        <v>54</v>
      </c>
      <c r="E69" s="2" t="s">
        <v>55</v>
      </c>
      <c r="F69" s="2" t="s">
        <v>80</v>
      </c>
      <c r="G69" s="2" t="s">
        <v>242</v>
      </c>
      <c r="H69" s="2" t="s">
        <v>265</v>
      </c>
      <c r="I69" s="2"/>
      <c r="J69" s="3"/>
      <c r="K69" s="3"/>
      <c r="L69" s="2"/>
      <c r="M69" s="2"/>
      <c r="N69" s="4"/>
      <c r="O69" s="4"/>
      <c r="P69" s="2"/>
      <c r="Q69" s="2"/>
      <c r="R69" s="2"/>
      <c r="S69" s="2"/>
      <c r="T69" s="2"/>
      <c r="U69" s="2" t="s">
        <v>132</v>
      </c>
      <c r="V69" s="2"/>
    </row>
    <row r="70" spans="1:22" ht="58" customHeight="1" x14ac:dyDescent="0.2">
      <c r="A70" s="2" t="s">
        <v>246</v>
      </c>
      <c r="B70" s="2"/>
      <c r="C70" s="2" t="s">
        <v>247</v>
      </c>
      <c r="D70" s="2" t="s">
        <v>54</v>
      </c>
      <c r="E70" s="2" t="s">
        <v>55</v>
      </c>
      <c r="F70" s="2" t="s">
        <v>80</v>
      </c>
      <c r="G70" s="2" t="s">
        <v>242</v>
      </c>
      <c r="H70" s="2" t="s">
        <v>265</v>
      </c>
      <c r="I70" s="2"/>
      <c r="J70" s="3"/>
      <c r="K70" s="3"/>
      <c r="L70" s="2"/>
      <c r="M70" s="2"/>
      <c r="N70" s="4"/>
      <c r="O70" s="4"/>
      <c r="P70" s="2"/>
      <c r="Q70" s="2"/>
      <c r="R70" s="2"/>
      <c r="S70" s="2"/>
      <c r="T70" s="2"/>
      <c r="U70" s="2" t="s">
        <v>132</v>
      </c>
      <c r="V70" s="2"/>
    </row>
    <row r="71" spans="1:22" ht="58" customHeight="1" x14ac:dyDescent="0.2">
      <c r="A71" s="2" t="s">
        <v>248</v>
      </c>
      <c r="B71" s="2"/>
      <c r="C71" s="2" t="s">
        <v>249</v>
      </c>
      <c r="D71" s="2" t="s">
        <v>54</v>
      </c>
      <c r="E71" s="2" t="s">
        <v>55</v>
      </c>
      <c r="F71" s="2" t="s">
        <v>80</v>
      </c>
      <c r="G71" s="2" t="s">
        <v>242</v>
      </c>
      <c r="H71" s="2" t="s">
        <v>265</v>
      </c>
      <c r="I71" s="2"/>
      <c r="J71" s="3"/>
      <c r="K71" s="3"/>
      <c r="L71" s="2"/>
      <c r="M71" s="2"/>
      <c r="N71" s="4"/>
      <c r="O71" s="4"/>
      <c r="P71" s="2"/>
      <c r="Q71" s="2"/>
      <c r="R71" s="2"/>
      <c r="S71" s="2"/>
      <c r="T71" s="2"/>
      <c r="U71" s="2" t="s">
        <v>132</v>
      </c>
      <c r="V71" s="2"/>
    </row>
    <row r="72" spans="1:22" ht="58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2"/>
      <c r="M72" s="2"/>
      <c r="N72" s="4"/>
      <c r="O72" s="4"/>
      <c r="P72" s="2"/>
      <c r="Q72" s="2"/>
      <c r="R72" s="2"/>
      <c r="S72" s="2"/>
      <c r="T72" s="2"/>
      <c r="U72" s="2"/>
      <c r="V72" s="2"/>
    </row>
    <row r="73" spans="1:22" ht="58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2"/>
      <c r="M73" s="2"/>
      <c r="N73" s="4"/>
      <c r="O73" s="4"/>
      <c r="P73" s="2"/>
      <c r="Q73" s="2"/>
      <c r="R73" s="2"/>
      <c r="S73" s="2"/>
      <c r="T73" s="2"/>
      <c r="U73" s="2"/>
      <c r="V73" s="2"/>
    </row>
    <row r="74" spans="1:22" ht="58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2"/>
      <c r="M74" s="2"/>
      <c r="N74" s="4"/>
      <c r="O74" s="4"/>
      <c r="P74" s="2"/>
      <c r="Q74" s="2"/>
      <c r="R74" s="2"/>
      <c r="S74" s="2"/>
      <c r="T74" s="2"/>
      <c r="U74" s="2"/>
      <c r="V74" s="2"/>
    </row>
    <row r="75" spans="1:22" ht="58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2"/>
      <c r="M75" s="2"/>
      <c r="N75" s="4"/>
      <c r="O75" s="4"/>
      <c r="P75" s="2"/>
      <c r="Q75" s="2"/>
      <c r="R75" s="2"/>
      <c r="S75" s="2"/>
      <c r="T75" s="2"/>
      <c r="U75" s="2"/>
      <c r="V75" s="2"/>
    </row>
    <row r="76" spans="1:22" ht="58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2"/>
      <c r="M76" s="2"/>
      <c r="N76" s="4"/>
      <c r="O76" s="4"/>
      <c r="P76" s="2"/>
      <c r="Q76" s="2"/>
      <c r="R76" s="2"/>
      <c r="S76" s="2"/>
      <c r="T76" s="2"/>
      <c r="U76" s="2"/>
      <c r="V76" s="2"/>
    </row>
    <row r="77" spans="1:22" ht="58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2"/>
      <c r="M77" s="2"/>
      <c r="N77" s="4"/>
      <c r="O77" s="4"/>
      <c r="P77" s="2"/>
      <c r="Q77" s="2"/>
      <c r="R77" s="2"/>
      <c r="S77" s="2"/>
      <c r="T77" s="2"/>
      <c r="U77" s="2"/>
      <c r="V77" s="2"/>
    </row>
    <row r="78" spans="1:22" ht="58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2"/>
      <c r="M78" s="2"/>
      <c r="N78" s="4"/>
      <c r="O78" s="4"/>
      <c r="P78" s="2"/>
      <c r="Q78" s="2"/>
      <c r="R78" s="2"/>
      <c r="S78" s="2"/>
      <c r="T78" s="2"/>
      <c r="U78" s="2"/>
      <c r="V78" s="2"/>
    </row>
    <row r="79" spans="1:22" ht="58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2"/>
      <c r="M79" s="2"/>
      <c r="N79" s="4"/>
      <c r="O79" s="4"/>
      <c r="P79" s="2"/>
      <c r="Q79" s="2"/>
      <c r="R79" s="2"/>
      <c r="S79" s="2"/>
      <c r="T79" s="2"/>
      <c r="U79" s="2"/>
      <c r="V79" s="2"/>
    </row>
    <row r="80" spans="1:22" ht="58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2"/>
      <c r="M80" s="2"/>
      <c r="N80" s="4"/>
      <c r="O80" s="4"/>
      <c r="P80" s="2"/>
      <c r="Q80" s="2"/>
      <c r="R80" s="2"/>
      <c r="S80" s="2"/>
      <c r="T80" s="2"/>
      <c r="U80" s="2"/>
      <c r="V80" s="2"/>
    </row>
    <row r="81" spans="1:22" ht="58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2"/>
      <c r="M81" s="2"/>
      <c r="N81" s="4"/>
      <c r="O81" s="4"/>
      <c r="P81" s="2"/>
      <c r="Q81" s="2"/>
      <c r="R81" s="2"/>
      <c r="S81" s="2"/>
      <c r="T81" s="2"/>
      <c r="U81" s="2"/>
      <c r="V81" s="2"/>
    </row>
    <row r="82" spans="1:22" ht="58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2"/>
      <c r="M82" s="2"/>
      <c r="N82" s="4"/>
      <c r="O82" s="4"/>
      <c r="P82" s="2"/>
      <c r="Q82" s="2"/>
      <c r="R82" s="2"/>
      <c r="S82" s="2"/>
      <c r="T82" s="2"/>
      <c r="U82" s="2"/>
      <c r="V82" s="2"/>
    </row>
    <row r="83" spans="1:22" ht="58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2"/>
      <c r="M83" s="2"/>
      <c r="N83" s="4"/>
      <c r="O83" s="4"/>
      <c r="P83" s="2"/>
      <c r="Q83" s="2"/>
      <c r="R83" s="2"/>
      <c r="S83" s="2"/>
      <c r="T83" s="2"/>
      <c r="U83" s="2"/>
      <c r="V83" s="2"/>
    </row>
    <row r="84" spans="1:22" ht="58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2"/>
      <c r="M84" s="2"/>
      <c r="N84" s="4"/>
      <c r="O84" s="4"/>
      <c r="P84" s="2"/>
      <c r="Q84" s="2"/>
      <c r="R84" s="2"/>
      <c r="S84" s="2"/>
      <c r="T84" s="2"/>
      <c r="U84" s="2"/>
      <c r="V84" s="2"/>
    </row>
    <row r="85" spans="1:22" ht="58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2"/>
      <c r="M85" s="2"/>
      <c r="N85" s="4"/>
      <c r="O85" s="4"/>
      <c r="P85" s="2"/>
      <c r="Q85" s="2"/>
      <c r="R85" s="2"/>
      <c r="S85" s="2"/>
      <c r="T85" s="2"/>
      <c r="U85" s="2"/>
      <c r="V85" s="2"/>
    </row>
    <row r="86" spans="1:22" ht="58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2"/>
      <c r="M86" s="2"/>
      <c r="N86" s="4"/>
      <c r="O86" s="4"/>
      <c r="P86" s="2"/>
      <c r="Q86" s="2"/>
      <c r="R86" s="2"/>
      <c r="S86" s="2"/>
      <c r="T86" s="2"/>
      <c r="U86" s="2"/>
      <c r="V86" s="2"/>
    </row>
    <row r="87" spans="1:22" ht="58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2"/>
      <c r="M87" s="2"/>
      <c r="N87" s="4"/>
      <c r="O87" s="4"/>
      <c r="P87" s="2"/>
      <c r="Q87" s="2"/>
      <c r="R87" s="2"/>
      <c r="S87" s="2"/>
      <c r="T87" s="2"/>
      <c r="U87" s="2"/>
      <c r="V87" s="2"/>
    </row>
    <row r="88" spans="1:22" ht="58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2"/>
      <c r="M88" s="2"/>
      <c r="N88" s="4"/>
      <c r="O88" s="4"/>
      <c r="P88" s="2"/>
      <c r="Q88" s="2"/>
      <c r="R88" s="2"/>
      <c r="S88" s="2"/>
      <c r="T88" s="2"/>
      <c r="U88" s="2"/>
      <c r="V88" s="2"/>
    </row>
    <row r="89" spans="1:22" ht="58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2"/>
      <c r="M89" s="2"/>
      <c r="N89" s="4"/>
      <c r="O89" s="4"/>
      <c r="P89" s="2"/>
      <c r="Q89" s="2"/>
      <c r="R89" s="2"/>
      <c r="S89" s="2"/>
      <c r="T89" s="2"/>
      <c r="U89" s="2"/>
      <c r="V89" s="2"/>
    </row>
    <row r="90" spans="1:22" ht="58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2"/>
      <c r="M90" s="2"/>
      <c r="N90" s="4"/>
      <c r="O90" s="4"/>
      <c r="P90" s="2"/>
      <c r="Q90" s="2"/>
      <c r="R90" s="2"/>
      <c r="S90" s="2"/>
      <c r="T90" s="2"/>
      <c r="U90" s="2"/>
      <c r="V90" s="2"/>
    </row>
    <row r="91" spans="1:22" ht="58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2"/>
      <c r="M91" s="2"/>
      <c r="N91" s="4"/>
      <c r="O91" s="4"/>
      <c r="P91" s="2"/>
      <c r="Q91" s="2"/>
      <c r="R91" s="2"/>
      <c r="S91" s="2"/>
      <c r="T91" s="2"/>
      <c r="U91" s="2"/>
      <c r="V91" s="2"/>
    </row>
    <row r="92" spans="1:22" ht="58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2"/>
      <c r="M92" s="2"/>
      <c r="N92" s="4"/>
      <c r="O92" s="4"/>
      <c r="P92" s="2"/>
      <c r="Q92" s="2"/>
      <c r="R92" s="2"/>
      <c r="S92" s="2"/>
      <c r="T92" s="2"/>
      <c r="U92" s="2"/>
      <c r="V92" s="2"/>
    </row>
    <row r="93" spans="1:22" ht="58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2"/>
      <c r="M93" s="2"/>
      <c r="N93" s="4"/>
      <c r="O93" s="4"/>
      <c r="P93" s="2"/>
      <c r="Q93" s="2"/>
      <c r="R93" s="2"/>
      <c r="S93" s="2"/>
      <c r="T93" s="2"/>
      <c r="U93" s="2"/>
      <c r="V93" s="2"/>
    </row>
    <row r="94" spans="1:22" ht="58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2"/>
      <c r="M94" s="2"/>
      <c r="N94" s="4"/>
      <c r="O94" s="4"/>
      <c r="P94" s="2"/>
      <c r="Q94" s="2"/>
      <c r="R94" s="2"/>
      <c r="S94" s="2"/>
      <c r="T94" s="2"/>
      <c r="U94" s="2"/>
      <c r="V94" s="2"/>
    </row>
    <row r="95" spans="1:22" ht="58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2"/>
      <c r="M95" s="2"/>
      <c r="N95" s="4"/>
      <c r="O95" s="4"/>
      <c r="P95" s="2"/>
      <c r="Q95" s="2"/>
      <c r="R95" s="2"/>
      <c r="S95" s="2"/>
      <c r="T95" s="2"/>
      <c r="U95" s="2"/>
      <c r="V95" s="2"/>
    </row>
    <row r="96" spans="1:22" ht="58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2"/>
      <c r="M96" s="2"/>
      <c r="N96" s="4"/>
      <c r="O96" s="4"/>
      <c r="P96" s="2"/>
      <c r="Q96" s="2"/>
      <c r="R96" s="2"/>
      <c r="S96" s="2"/>
      <c r="T96" s="2"/>
      <c r="U96" s="2"/>
      <c r="V96" s="2"/>
    </row>
    <row r="97" spans="1:22" ht="58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2"/>
      <c r="M97" s="2"/>
      <c r="N97" s="4"/>
      <c r="O97" s="4"/>
      <c r="P97" s="2"/>
      <c r="Q97" s="2"/>
      <c r="R97" s="2"/>
      <c r="S97" s="2"/>
      <c r="T97" s="2"/>
      <c r="U97" s="2"/>
      <c r="V97" s="2"/>
    </row>
    <row r="98" spans="1:22" ht="58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2"/>
      <c r="M98" s="2"/>
      <c r="N98" s="4"/>
      <c r="O98" s="4"/>
      <c r="P98" s="2"/>
      <c r="Q98" s="2"/>
      <c r="R98" s="2"/>
      <c r="S98" s="2"/>
      <c r="T98" s="2"/>
      <c r="U98" s="2"/>
      <c r="V98" s="2"/>
    </row>
    <row r="99" spans="1:22" ht="58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2"/>
      <c r="M99" s="2"/>
      <c r="N99" s="4"/>
      <c r="O99" s="4"/>
      <c r="P99" s="2"/>
      <c r="Q99" s="2"/>
      <c r="R99" s="2"/>
      <c r="S99" s="2"/>
      <c r="T99" s="2"/>
      <c r="U99" s="2"/>
      <c r="V99" s="2"/>
    </row>
    <row r="100" spans="1:22" ht="58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2"/>
      <c r="N100" s="4"/>
      <c r="O100" s="4"/>
      <c r="P100" s="2"/>
      <c r="Q100" s="2"/>
      <c r="R100" s="2"/>
      <c r="S100" s="2"/>
      <c r="T100" s="2"/>
      <c r="U100" s="2"/>
      <c r="V100" s="2"/>
    </row>
    <row r="101" spans="1:22" ht="58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O101" s="4"/>
      <c r="P101" s="2"/>
      <c r="Q101" s="2"/>
      <c r="R101" s="2"/>
      <c r="S101" s="2"/>
      <c r="T101" s="2"/>
      <c r="U101" s="2"/>
      <c r="V101" s="2"/>
    </row>
    <row r="102" spans="1:22" ht="58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O102" s="4"/>
      <c r="P102" s="2"/>
      <c r="Q102" s="2"/>
      <c r="R102" s="2"/>
      <c r="S102" s="2"/>
      <c r="T102" s="2"/>
      <c r="U102" s="2"/>
      <c r="V102" s="2"/>
    </row>
    <row r="103" spans="1:22" ht="58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O103" s="4"/>
      <c r="P103" s="2"/>
      <c r="Q103" s="2"/>
      <c r="R103" s="2"/>
      <c r="S103" s="2"/>
      <c r="T103" s="2"/>
      <c r="U103" s="2"/>
      <c r="V103" s="2"/>
    </row>
    <row r="104" spans="1:22" ht="58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O104" s="4"/>
      <c r="P104" s="2"/>
      <c r="Q104" s="2"/>
      <c r="R104" s="2"/>
      <c r="S104" s="2"/>
      <c r="T104" s="2"/>
      <c r="U104" s="2"/>
      <c r="V104" s="2"/>
    </row>
    <row r="105" spans="1:22" ht="58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O105" s="4"/>
      <c r="P105" s="2"/>
      <c r="Q105" s="2"/>
      <c r="R105" s="2"/>
      <c r="S105" s="2"/>
      <c r="T105" s="2"/>
      <c r="U105" s="2"/>
      <c r="V105" s="2"/>
    </row>
    <row r="106" spans="1:22" ht="58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O106" s="4"/>
      <c r="P106" s="2"/>
      <c r="Q106" s="2"/>
      <c r="R106" s="2"/>
      <c r="S106" s="2"/>
      <c r="T106" s="2"/>
      <c r="U106" s="2"/>
      <c r="V106" s="2"/>
    </row>
    <row r="107" spans="1:22" ht="58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O107" s="4"/>
      <c r="P107" s="2"/>
      <c r="Q107" s="2"/>
      <c r="R107" s="2"/>
      <c r="S107" s="2"/>
      <c r="T107" s="2"/>
      <c r="U107" s="2"/>
      <c r="V107" s="2"/>
    </row>
    <row r="108" spans="1:22" ht="58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O108" s="4"/>
      <c r="P108" s="2"/>
      <c r="Q108" s="2"/>
      <c r="R108" s="2"/>
      <c r="S108" s="2"/>
      <c r="T108" s="2"/>
      <c r="U108" s="2"/>
      <c r="V108" s="2"/>
    </row>
    <row r="109" spans="1:22" ht="58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O109" s="4"/>
      <c r="P109" s="2"/>
      <c r="Q109" s="2"/>
      <c r="R109" s="2"/>
      <c r="S109" s="2"/>
      <c r="T109" s="2"/>
      <c r="U109" s="2"/>
      <c r="V109" s="2"/>
    </row>
    <row r="110" spans="1:22" ht="58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O110" s="4"/>
      <c r="P110" s="2"/>
      <c r="Q110" s="2"/>
      <c r="R110" s="2"/>
      <c r="S110" s="2"/>
      <c r="T110" s="2"/>
      <c r="U110" s="2"/>
      <c r="V110" s="2"/>
    </row>
    <row r="111" spans="1:22" ht="58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O111" s="4"/>
      <c r="P111" s="2"/>
      <c r="Q111" s="2"/>
      <c r="R111" s="2"/>
      <c r="S111" s="2"/>
      <c r="T111" s="2"/>
      <c r="U111" s="2"/>
      <c r="V111" s="2"/>
    </row>
    <row r="112" spans="1:22" ht="58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O112" s="4"/>
      <c r="P112" s="2"/>
      <c r="Q112" s="2"/>
      <c r="R112" s="2"/>
      <c r="S112" s="2"/>
      <c r="T112" s="2"/>
      <c r="U112" s="2"/>
      <c r="V112" s="2"/>
    </row>
    <row r="113" spans="1:22" ht="58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O113" s="4"/>
      <c r="P113" s="2"/>
      <c r="Q113" s="2"/>
      <c r="R113" s="2"/>
      <c r="S113" s="2"/>
      <c r="T113" s="2"/>
      <c r="U113" s="2"/>
      <c r="V113" s="2"/>
    </row>
    <row r="114" spans="1:22" ht="58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O114" s="4"/>
      <c r="P114" s="2"/>
      <c r="Q114" s="2"/>
      <c r="R114" s="2"/>
      <c r="S114" s="2"/>
      <c r="T114" s="2"/>
      <c r="U114" s="2"/>
      <c r="V114" s="2"/>
    </row>
    <row r="115" spans="1:22" ht="58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O115" s="4"/>
      <c r="P115" s="2"/>
      <c r="Q115" s="2"/>
      <c r="R115" s="2"/>
      <c r="S115" s="2"/>
      <c r="T115" s="2"/>
      <c r="U115" s="2"/>
      <c r="V115" s="2"/>
    </row>
    <row r="116" spans="1:22" ht="58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O116" s="4"/>
      <c r="P116" s="2"/>
      <c r="Q116" s="2"/>
      <c r="R116" s="2"/>
      <c r="S116" s="2"/>
      <c r="T116" s="2"/>
      <c r="U116" s="2"/>
      <c r="V116" s="2"/>
    </row>
    <row r="117" spans="1:22" ht="58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O117" s="4"/>
      <c r="P117" s="2"/>
      <c r="Q117" s="2"/>
      <c r="R117" s="2"/>
      <c r="S117" s="2"/>
      <c r="T117" s="2"/>
      <c r="U117" s="2"/>
      <c r="V117" s="2"/>
    </row>
    <row r="118" spans="1:22" ht="58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O118" s="4"/>
      <c r="P118" s="2"/>
      <c r="Q118" s="2"/>
      <c r="R118" s="2"/>
      <c r="S118" s="2"/>
      <c r="T118" s="2"/>
      <c r="U118" s="2"/>
      <c r="V118" s="2"/>
    </row>
    <row r="119" spans="1:22" ht="58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O119" s="4"/>
      <c r="P119" s="2"/>
      <c r="Q119" s="2"/>
      <c r="R119" s="2"/>
      <c r="S119" s="2"/>
      <c r="T119" s="2"/>
      <c r="U119" s="2"/>
      <c r="V119" s="2"/>
    </row>
    <row r="120" spans="1:22" ht="58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O120" s="4"/>
      <c r="P120" s="2"/>
      <c r="Q120" s="2"/>
      <c r="R120" s="2"/>
      <c r="S120" s="2"/>
      <c r="T120" s="2"/>
      <c r="U120" s="2"/>
      <c r="V120" s="2"/>
    </row>
    <row r="121" spans="1:22" ht="58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O121" s="4"/>
      <c r="P121" s="2"/>
      <c r="Q121" s="2"/>
      <c r="R121" s="2"/>
      <c r="S121" s="2"/>
      <c r="T121" s="2"/>
      <c r="U121" s="2"/>
      <c r="V121" s="2"/>
    </row>
    <row r="122" spans="1:22" ht="58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O122" s="4"/>
      <c r="P122" s="2"/>
      <c r="Q122" s="2"/>
      <c r="R122" s="2"/>
      <c r="S122" s="2"/>
      <c r="T122" s="2"/>
      <c r="U122" s="2"/>
      <c r="V122" s="2"/>
    </row>
    <row r="123" spans="1:22" ht="58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O123" s="4"/>
      <c r="P123" s="2"/>
      <c r="Q123" s="2"/>
      <c r="R123" s="2"/>
      <c r="S123" s="2"/>
      <c r="T123" s="2"/>
      <c r="U123" s="2"/>
      <c r="V123" s="2"/>
    </row>
    <row r="124" spans="1:22" ht="58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O124" s="4"/>
      <c r="P124" s="2"/>
      <c r="Q124" s="2"/>
      <c r="R124" s="2"/>
      <c r="S124" s="2"/>
      <c r="T124" s="2"/>
      <c r="U124" s="2"/>
      <c r="V124" s="2"/>
    </row>
    <row r="125" spans="1:22" ht="58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O125" s="4"/>
      <c r="P125" s="2"/>
      <c r="Q125" s="2"/>
      <c r="R125" s="2"/>
      <c r="S125" s="2"/>
      <c r="T125" s="2"/>
      <c r="U125" s="2"/>
      <c r="V125" s="2"/>
    </row>
    <row r="126" spans="1:22" ht="58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O126" s="4"/>
      <c r="P126" s="2"/>
      <c r="Q126" s="2"/>
      <c r="R126" s="2"/>
      <c r="S126" s="2"/>
      <c r="T126" s="2"/>
      <c r="U126" s="2"/>
      <c r="V126" s="2"/>
    </row>
    <row r="127" spans="1:22" ht="58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O127" s="4"/>
      <c r="P127" s="2"/>
      <c r="Q127" s="2"/>
      <c r="R127" s="2"/>
      <c r="S127" s="2"/>
      <c r="T127" s="2"/>
      <c r="U127" s="2"/>
      <c r="V127" s="2"/>
    </row>
    <row r="128" spans="1:22" ht="58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O128" s="4"/>
      <c r="P128" s="2"/>
      <c r="Q128" s="2"/>
      <c r="R128" s="2"/>
      <c r="S128" s="2"/>
      <c r="T128" s="2"/>
      <c r="U128" s="2"/>
      <c r="V128" s="2"/>
    </row>
    <row r="129" spans="1:22" ht="58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O129" s="4"/>
      <c r="P129" s="2"/>
      <c r="Q129" s="2"/>
      <c r="R129" s="2"/>
      <c r="S129" s="2"/>
      <c r="T129" s="2"/>
      <c r="U129" s="2"/>
      <c r="V129" s="2"/>
    </row>
    <row r="130" spans="1:22" ht="58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O130" s="4"/>
      <c r="P130" s="2"/>
      <c r="Q130" s="2"/>
      <c r="R130" s="2"/>
      <c r="S130" s="2"/>
      <c r="T130" s="2"/>
      <c r="U130" s="2"/>
      <c r="V130" s="2"/>
    </row>
    <row r="131" spans="1:22" ht="58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O131" s="4"/>
      <c r="P131" s="2"/>
      <c r="Q131" s="2"/>
      <c r="R131" s="2"/>
      <c r="S131" s="2"/>
      <c r="T131" s="2"/>
      <c r="U131" s="2"/>
      <c r="V131" s="2"/>
    </row>
    <row r="132" spans="1:22" ht="58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O132" s="4"/>
      <c r="P132" s="2"/>
      <c r="Q132" s="2"/>
      <c r="R132" s="2"/>
      <c r="S132" s="2"/>
      <c r="T132" s="2"/>
      <c r="U132" s="2"/>
      <c r="V132" s="2"/>
    </row>
    <row r="133" spans="1:22" ht="58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O133" s="4"/>
      <c r="P133" s="2"/>
      <c r="Q133" s="2"/>
      <c r="R133" s="2"/>
      <c r="S133" s="2"/>
      <c r="T133" s="2"/>
      <c r="U133" s="2"/>
      <c r="V133" s="2"/>
    </row>
    <row r="134" spans="1:22" ht="58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O134" s="4"/>
      <c r="P134" s="2"/>
      <c r="Q134" s="2"/>
      <c r="R134" s="2"/>
      <c r="S134" s="2"/>
      <c r="T134" s="2"/>
      <c r="U134" s="2"/>
      <c r="V134" s="2"/>
    </row>
    <row r="135" spans="1:22" ht="58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O135" s="4"/>
      <c r="P135" s="2"/>
      <c r="Q135" s="2"/>
      <c r="R135" s="2"/>
      <c r="S135" s="2"/>
      <c r="T135" s="2"/>
      <c r="U135" s="2"/>
      <c r="V135" s="2"/>
    </row>
    <row r="136" spans="1:22" ht="58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O136" s="4"/>
      <c r="P136" s="2"/>
      <c r="Q136" s="2"/>
      <c r="R136" s="2"/>
      <c r="S136" s="2"/>
      <c r="T136" s="2"/>
      <c r="U136" s="2"/>
      <c r="V136" s="2"/>
    </row>
    <row r="137" spans="1:22" ht="58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O137" s="4"/>
      <c r="P137" s="2"/>
      <c r="Q137" s="2"/>
      <c r="R137" s="2"/>
      <c r="S137" s="2"/>
      <c r="T137" s="2"/>
      <c r="U137" s="2"/>
      <c r="V137" s="2"/>
    </row>
    <row r="138" spans="1:22" ht="58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O138" s="4"/>
      <c r="P138" s="2"/>
      <c r="Q138" s="2"/>
      <c r="R138" s="2"/>
      <c r="S138" s="2"/>
      <c r="T138" s="2"/>
      <c r="U138" s="2"/>
      <c r="V138" s="2"/>
    </row>
    <row r="139" spans="1:22" ht="58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O139" s="4"/>
      <c r="P139" s="2"/>
      <c r="Q139" s="2"/>
      <c r="R139" s="2"/>
      <c r="S139" s="2"/>
      <c r="T139" s="2"/>
      <c r="U139" s="2"/>
      <c r="V139" s="2"/>
    </row>
    <row r="140" spans="1:22" ht="58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O140" s="4"/>
      <c r="P140" s="2"/>
      <c r="Q140" s="2"/>
      <c r="R140" s="2"/>
      <c r="S140" s="2"/>
      <c r="T140" s="2"/>
      <c r="U140" s="2"/>
      <c r="V140" s="2"/>
    </row>
    <row r="141" spans="1:22" ht="58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O141" s="4"/>
      <c r="P141" s="2"/>
      <c r="Q141" s="2"/>
      <c r="R141" s="2"/>
      <c r="S141" s="2"/>
      <c r="T141" s="2"/>
      <c r="U141" s="2"/>
      <c r="V141" s="2"/>
    </row>
    <row r="142" spans="1:22" ht="58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O142" s="4"/>
      <c r="P142" s="2"/>
      <c r="Q142" s="2"/>
      <c r="R142" s="2"/>
      <c r="S142" s="2"/>
      <c r="T142" s="2"/>
      <c r="U142" s="2"/>
      <c r="V142" s="2"/>
    </row>
    <row r="143" spans="1:22" ht="58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O143" s="4"/>
      <c r="P143" s="2"/>
      <c r="Q143" s="2"/>
      <c r="R143" s="2"/>
      <c r="S143" s="2"/>
      <c r="T143" s="2"/>
      <c r="U143" s="2"/>
      <c r="V143" s="2"/>
    </row>
    <row r="144" spans="1:22" ht="58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O144" s="4"/>
      <c r="P144" s="2"/>
      <c r="Q144" s="2"/>
      <c r="R144" s="2"/>
      <c r="S144" s="2"/>
      <c r="T144" s="2"/>
      <c r="U144" s="2"/>
      <c r="V144" s="2"/>
    </row>
    <row r="145" spans="1:22" ht="58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O145" s="4"/>
      <c r="P145" s="2"/>
      <c r="Q145" s="2"/>
      <c r="R145" s="2"/>
      <c r="S145" s="2"/>
      <c r="T145" s="2"/>
      <c r="U145" s="2"/>
      <c r="V145" s="2"/>
    </row>
    <row r="146" spans="1:22" ht="58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O146" s="4"/>
      <c r="P146" s="2"/>
      <c r="Q146" s="2"/>
      <c r="R146" s="2"/>
      <c r="S146" s="2"/>
      <c r="T146" s="2"/>
      <c r="U146" s="2"/>
      <c r="V146" s="2"/>
    </row>
    <row r="147" spans="1:22" ht="58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O147" s="4"/>
      <c r="P147" s="2"/>
      <c r="Q147" s="2"/>
      <c r="R147" s="2"/>
      <c r="S147" s="2"/>
      <c r="T147" s="2"/>
      <c r="U147" s="2"/>
      <c r="V147" s="2"/>
    </row>
    <row r="148" spans="1:22" ht="58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O148" s="4"/>
      <c r="P148" s="2"/>
      <c r="Q148" s="2"/>
      <c r="R148" s="2"/>
      <c r="S148" s="2"/>
      <c r="T148" s="2"/>
      <c r="U148" s="2"/>
      <c r="V148" s="2"/>
    </row>
    <row r="149" spans="1:22" ht="58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O149" s="4"/>
      <c r="P149" s="2"/>
      <c r="Q149" s="2"/>
      <c r="R149" s="2"/>
      <c r="S149" s="2"/>
      <c r="T149" s="2"/>
      <c r="U149" s="2"/>
      <c r="V149" s="2"/>
    </row>
    <row r="150" spans="1:22" ht="58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O150" s="4"/>
      <c r="P150" s="2"/>
      <c r="Q150" s="2"/>
      <c r="R150" s="2"/>
      <c r="S150" s="2"/>
      <c r="T150" s="2"/>
      <c r="U150" s="2"/>
      <c r="V150" s="2"/>
    </row>
    <row r="151" spans="1:22" ht="58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O151" s="4"/>
      <c r="P151" s="2"/>
      <c r="Q151" s="2"/>
      <c r="R151" s="2"/>
      <c r="S151" s="2"/>
      <c r="T151" s="2"/>
      <c r="U151" s="2"/>
      <c r="V151" s="2"/>
    </row>
    <row r="152" spans="1:22" ht="58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O152" s="4"/>
      <c r="P152" s="2"/>
      <c r="Q152" s="2"/>
      <c r="R152" s="2"/>
      <c r="S152" s="2"/>
      <c r="T152" s="2"/>
      <c r="U152" s="2"/>
      <c r="V152" s="2"/>
    </row>
    <row r="153" spans="1:22" ht="58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O153" s="4"/>
      <c r="P153" s="2"/>
      <c r="Q153" s="2"/>
      <c r="R153" s="2"/>
      <c r="S153" s="2"/>
      <c r="T153" s="2"/>
      <c r="U153" s="2"/>
      <c r="V153" s="2"/>
    </row>
    <row r="154" spans="1:22" ht="58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O154" s="4"/>
      <c r="P154" s="2"/>
      <c r="Q154" s="2"/>
      <c r="R154" s="2"/>
      <c r="S154" s="2"/>
      <c r="T154" s="2"/>
      <c r="U154" s="2"/>
      <c r="V154" s="2"/>
    </row>
    <row r="155" spans="1:22" ht="58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O155" s="4"/>
      <c r="P155" s="2"/>
      <c r="Q155" s="2"/>
      <c r="R155" s="2"/>
      <c r="S155" s="2"/>
      <c r="T155" s="2"/>
      <c r="U155" s="2"/>
      <c r="V155" s="2"/>
    </row>
    <row r="156" spans="1:22" ht="58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O156" s="4"/>
      <c r="P156" s="2"/>
      <c r="Q156" s="2"/>
      <c r="R156" s="2"/>
      <c r="S156" s="2"/>
      <c r="T156" s="2"/>
      <c r="U156" s="2"/>
      <c r="V156" s="2"/>
    </row>
    <row r="157" spans="1:22" ht="58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O157" s="4"/>
      <c r="P157" s="2"/>
      <c r="Q157" s="2"/>
      <c r="R157" s="2"/>
      <c r="S157" s="2"/>
      <c r="T157" s="2"/>
      <c r="U157" s="2"/>
      <c r="V157" s="2"/>
    </row>
    <row r="158" spans="1:22" ht="58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O158" s="4"/>
      <c r="P158" s="2"/>
      <c r="Q158" s="2"/>
      <c r="R158" s="2"/>
      <c r="S158" s="2"/>
      <c r="T158" s="2"/>
      <c r="U158" s="2"/>
      <c r="V158" s="2"/>
    </row>
    <row r="159" spans="1:22" ht="58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O159" s="4"/>
      <c r="P159" s="2"/>
      <c r="Q159" s="2"/>
      <c r="R159" s="2"/>
      <c r="S159" s="2"/>
      <c r="T159" s="2"/>
      <c r="U159" s="2"/>
      <c r="V159" s="2"/>
    </row>
    <row r="160" spans="1:22" ht="58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O160" s="4"/>
      <c r="P160" s="2"/>
      <c r="Q160" s="2"/>
      <c r="R160" s="2"/>
      <c r="S160" s="2"/>
      <c r="T160" s="2"/>
      <c r="U160" s="2"/>
      <c r="V160" s="2"/>
    </row>
    <row r="161" spans="1:22" ht="58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O161" s="4"/>
      <c r="P161" s="2"/>
      <c r="Q161" s="2"/>
      <c r="R161" s="2"/>
      <c r="S161" s="2"/>
      <c r="T161" s="2"/>
      <c r="U161" s="2"/>
      <c r="V161" s="2"/>
    </row>
    <row r="162" spans="1:22" ht="58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O162" s="4"/>
      <c r="P162" s="2"/>
      <c r="Q162" s="2"/>
      <c r="R162" s="2"/>
      <c r="S162" s="2"/>
      <c r="T162" s="2"/>
      <c r="U162" s="2"/>
      <c r="V162" s="2"/>
    </row>
    <row r="163" spans="1:22" ht="58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O163" s="4"/>
      <c r="P163" s="2"/>
      <c r="Q163" s="2"/>
      <c r="R163" s="2"/>
      <c r="S163" s="2"/>
      <c r="T163" s="2"/>
      <c r="U163" s="2"/>
      <c r="V163" s="2"/>
    </row>
    <row r="164" spans="1:22" ht="58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O164" s="4"/>
      <c r="P164" s="2"/>
      <c r="Q164" s="2"/>
      <c r="R164" s="2"/>
      <c r="S164" s="2"/>
      <c r="T164" s="2"/>
      <c r="U164" s="2"/>
      <c r="V164" s="2"/>
    </row>
    <row r="165" spans="1:22" ht="58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O165" s="4"/>
      <c r="P165" s="2"/>
      <c r="Q165" s="2"/>
      <c r="R165" s="2"/>
      <c r="S165" s="2"/>
      <c r="T165" s="2"/>
      <c r="U165" s="2"/>
      <c r="V165" s="2"/>
    </row>
    <row r="166" spans="1:22" ht="58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O166" s="4"/>
      <c r="P166" s="2"/>
      <c r="Q166" s="2"/>
      <c r="R166" s="2"/>
      <c r="S166" s="2"/>
      <c r="T166" s="2"/>
      <c r="U166" s="2"/>
      <c r="V166" s="2"/>
    </row>
    <row r="167" spans="1:22" ht="58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O167" s="4"/>
      <c r="P167" s="2"/>
      <c r="Q167" s="2"/>
      <c r="R167" s="2"/>
      <c r="S167" s="2"/>
      <c r="T167" s="2"/>
      <c r="U167" s="2"/>
      <c r="V167" s="2"/>
    </row>
    <row r="168" spans="1:22" ht="58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O168" s="4"/>
      <c r="P168" s="2"/>
      <c r="Q168" s="2"/>
      <c r="R168" s="2"/>
      <c r="S168" s="2"/>
      <c r="T168" s="2"/>
      <c r="U168" s="2"/>
      <c r="V168" s="2"/>
    </row>
    <row r="169" spans="1:22" ht="58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O169" s="4"/>
      <c r="P169" s="2"/>
      <c r="Q169" s="2"/>
      <c r="R169" s="2"/>
      <c r="S169" s="2"/>
      <c r="T169" s="2"/>
      <c r="U169" s="2"/>
      <c r="V169" s="2"/>
    </row>
    <row r="170" spans="1:22" ht="58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O170" s="4"/>
      <c r="P170" s="2"/>
      <c r="Q170" s="2"/>
      <c r="R170" s="2"/>
      <c r="S170" s="2"/>
      <c r="T170" s="2"/>
      <c r="U170" s="2"/>
      <c r="V170" s="2"/>
    </row>
    <row r="171" spans="1:22" ht="58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O171" s="4"/>
      <c r="P171" s="2"/>
      <c r="Q171" s="2"/>
      <c r="R171" s="2"/>
      <c r="S171" s="2"/>
      <c r="T171" s="2"/>
      <c r="U171" s="2"/>
      <c r="V171" s="2"/>
    </row>
    <row r="172" spans="1:22" ht="58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O172" s="4"/>
      <c r="P172" s="2"/>
      <c r="Q172" s="2"/>
      <c r="R172" s="2"/>
      <c r="S172" s="2"/>
      <c r="T172" s="2"/>
      <c r="U172" s="2"/>
      <c r="V172" s="2"/>
    </row>
    <row r="173" spans="1:22" ht="58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O173" s="4"/>
      <c r="P173" s="2"/>
      <c r="Q173" s="2"/>
      <c r="R173" s="2"/>
      <c r="S173" s="2"/>
      <c r="T173" s="2"/>
      <c r="U173" s="2"/>
      <c r="V173" s="2"/>
    </row>
    <row r="174" spans="1:22" ht="58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O174" s="4"/>
      <c r="P174" s="2"/>
      <c r="Q174" s="2"/>
      <c r="R174" s="2"/>
      <c r="S174" s="2"/>
      <c r="T174" s="2"/>
      <c r="U174" s="2"/>
      <c r="V174" s="2"/>
    </row>
    <row r="175" spans="1:22" ht="58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O175" s="4"/>
      <c r="P175" s="2"/>
      <c r="Q175" s="2"/>
      <c r="R175" s="2"/>
      <c r="S175" s="2"/>
      <c r="T175" s="2"/>
      <c r="U175" s="2"/>
      <c r="V175" s="2"/>
    </row>
    <row r="176" spans="1:22" ht="58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O176" s="4"/>
      <c r="P176" s="2"/>
      <c r="Q176" s="2"/>
      <c r="R176" s="2"/>
      <c r="S176" s="2"/>
      <c r="T176" s="2"/>
      <c r="U176" s="2"/>
      <c r="V176" s="2"/>
    </row>
    <row r="177" spans="1:22" ht="58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O177" s="4"/>
      <c r="P177" s="2"/>
      <c r="Q177" s="2"/>
      <c r="R177" s="2"/>
      <c r="S177" s="2"/>
      <c r="T177" s="2"/>
      <c r="U177" s="2"/>
      <c r="V177" s="2"/>
    </row>
    <row r="178" spans="1:22" ht="58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O178" s="4"/>
      <c r="P178" s="2"/>
      <c r="Q178" s="2"/>
      <c r="R178" s="2"/>
      <c r="S178" s="2"/>
      <c r="T178" s="2"/>
      <c r="U178" s="2"/>
      <c r="V178" s="2"/>
    </row>
    <row r="179" spans="1:22" ht="58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O179" s="4"/>
      <c r="P179" s="2"/>
      <c r="Q179" s="2"/>
      <c r="R179" s="2"/>
      <c r="S179" s="2"/>
      <c r="T179" s="2"/>
      <c r="U179" s="2"/>
      <c r="V179" s="2"/>
    </row>
    <row r="180" spans="1:22" ht="58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O180" s="4"/>
      <c r="P180" s="2"/>
      <c r="Q180" s="2"/>
      <c r="R180" s="2"/>
      <c r="S180" s="2"/>
      <c r="T180" s="2"/>
      <c r="U180" s="2"/>
      <c r="V180" s="2"/>
    </row>
    <row r="181" spans="1:22" ht="58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O181" s="4"/>
      <c r="P181" s="2"/>
      <c r="Q181" s="2"/>
      <c r="R181" s="2"/>
      <c r="S181" s="2"/>
      <c r="T181" s="2"/>
      <c r="U181" s="2"/>
      <c r="V181" s="2"/>
    </row>
    <row r="182" spans="1:22" ht="58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O182" s="4"/>
      <c r="P182" s="2"/>
      <c r="Q182" s="2"/>
      <c r="R182" s="2"/>
      <c r="S182" s="2"/>
      <c r="T182" s="2"/>
      <c r="U182" s="2"/>
      <c r="V182" s="2"/>
    </row>
    <row r="183" spans="1:22" ht="58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O183" s="4"/>
      <c r="P183" s="2"/>
      <c r="Q183" s="2"/>
      <c r="R183" s="2"/>
      <c r="S183" s="2"/>
      <c r="T183" s="2"/>
      <c r="U183" s="2"/>
      <c r="V183" s="2"/>
    </row>
    <row r="184" spans="1:22" ht="58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O184" s="4"/>
      <c r="P184" s="2"/>
      <c r="Q184" s="2"/>
      <c r="R184" s="2"/>
      <c r="S184" s="2"/>
      <c r="T184" s="2"/>
      <c r="U184" s="2"/>
      <c r="V184" s="2"/>
    </row>
    <row r="185" spans="1:22" ht="58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O185" s="4"/>
      <c r="P185" s="2"/>
      <c r="Q185" s="2"/>
      <c r="R185" s="2"/>
      <c r="S185" s="2"/>
      <c r="T185" s="2"/>
      <c r="U185" s="2"/>
      <c r="V185" s="2"/>
    </row>
    <row r="186" spans="1:22" ht="58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O186" s="4"/>
      <c r="P186" s="2"/>
      <c r="Q186" s="2"/>
      <c r="R186" s="2"/>
      <c r="S186" s="2"/>
      <c r="T186" s="2"/>
      <c r="U186" s="2"/>
      <c r="V186" s="2"/>
    </row>
    <row r="187" spans="1:22" ht="58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O187" s="4"/>
      <c r="P187" s="2"/>
      <c r="Q187" s="2"/>
      <c r="R187" s="2"/>
      <c r="S187" s="2"/>
      <c r="T187" s="2"/>
      <c r="U187" s="2"/>
      <c r="V187" s="2"/>
    </row>
    <row r="188" spans="1:22" ht="58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O188" s="4"/>
      <c r="P188" s="2"/>
      <c r="Q188" s="2"/>
      <c r="R188" s="2"/>
      <c r="S188" s="2"/>
      <c r="T188" s="2"/>
      <c r="U188" s="2"/>
      <c r="V188" s="2"/>
    </row>
    <row r="189" spans="1:22" ht="58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O189" s="4"/>
      <c r="P189" s="2"/>
      <c r="Q189" s="2"/>
      <c r="R189" s="2"/>
      <c r="S189" s="2"/>
      <c r="T189" s="2"/>
      <c r="U189" s="2"/>
      <c r="V189" s="2"/>
    </row>
    <row r="190" spans="1:22" ht="58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O190" s="4"/>
      <c r="P190" s="2"/>
      <c r="Q190" s="2"/>
      <c r="R190" s="2"/>
      <c r="S190" s="2"/>
      <c r="T190" s="2"/>
      <c r="U190" s="2"/>
      <c r="V190" s="2"/>
    </row>
    <row r="191" spans="1:22" ht="58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O191" s="4"/>
      <c r="P191" s="2"/>
      <c r="Q191" s="2"/>
      <c r="R191" s="2"/>
      <c r="S191" s="2"/>
      <c r="T191" s="2"/>
      <c r="U191" s="2"/>
      <c r="V191" s="2"/>
    </row>
    <row r="192" spans="1:22" ht="58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O192" s="4"/>
      <c r="P192" s="2"/>
      <c r="Q192" s="2"/>
      <c r="R192" s="2"/>
      <c r="S192" s="2"/>
      <c r="T192" s="2"/>
      <c r="U192" s="2"/>
      <c r="V192" s="2"/>
    </row>
    <row r="193" spans="1:22" ht="58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O193" s="4"/>
      <c r="P193" s="2"/>
      <c r="Q193" s="2"/>
      <c r="R193" s="2"/>
      <c r="S193" s="2"/>
      <c r="T193" s="2"/>
      <c r="U193" s="2"/>
      <c r="V193" s="2"/>
    </row>
    <row r="194" spans="1:22" ht="58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O194" s="4"/>
      <c r="P194" s="2"/>
      <c r="Q194" s="2"/>
      <c r="R194" s="2"/>
      <c r="S194" s="2"/>
      <c r="T194" s="2"/>
      <c r="U194" s="2"/>
      <c r="V194" s="2"/>
    </row>
    <row r="195" spans="1:22" ht="58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O195" s="4"/>
      <c r="P195" s="2"/>
      <c r="Q195" s="2"/>
      <c r="R195" s="2"/>
      <c r="S195" s="2"/>
      <c r="T195" s="2"/>
      <c r="U195" s="2"/>
      <c r="V195" s="2"/>
    </row>
    <row r="196" spans="1:22" ht="58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O196" s="4"/>
      <c r="P196" s="2"/>
      <c r="Q196" s="2"/>
      <c r="R196" s="2"/>
      <c r="S196" s="2"/>
      <c r="T196" s="2"/>
      <c r="U196" s="2"/>
      <c r="V196" s="2"/>
    </row>
    <row r="197" spans="1:22" ht="58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O197" s="4"/>
      <c r="P197" s="2"/>
      <c r="Q197" s="2"/>
      <c r="R197" s="2"/>
      <c r="S197" s="2"/>
      <c r="T197" s="2"/>
      <c r="U197" s="2"/>
      <c r="V197" s="2"/>
    </row>
    <row r="198" spans="1:22" ht="58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O198" s="4"/>
      <c r="P198" s="2"/>
      <c r="Q198" s="2"/>
      <c r="R198" s="2"/>
      <c r="S198" s="2"/>
      <c r="T198" s="2"/>
      <c r="U198" s="2"/>
      <c r="V198" s="2"/>
    </row>
    <row r="199" spans="1:22" ht="58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O199" s="4"/>
      <c r="P199" s="2"/>
      <c r="Q199" s="2"/>
      <c r="R199" s="2"/>
      <c r="S199" s="2"/>
      <c r="T199" s="2"/>
      <c r="U199" s="2"/>
      <c r="V199" s="2"/>
    </row>
    <row r="200" spans="1:22" ht="58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O200" s="4"/>
      <c r="P200" s="2"/>
      <c r="Q200" s="2"/>
      <c r="R200" s="2"/>
      <c r="S200" s="2"/>
      <c r="T200" s="2"/>
      <c r="U200" s="2"/>
      <c r="V200" s="2"/>
    </row>
    <row r="201" spans="1:22" ht="58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O201" s="4"/>
      <c r="P201" s="2"/>
      <c r="Q201" s="2"/>
      <c r="R201" s="2"/>
      <c r="S201" s="2"/>
      <c r="T201" s="2"/>
      <c r="U201" s="2"/>
      <c r="V201" s="2"/>
    </row>
    <row r="202" spans="1:22" ht="58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O202" s="4"/>
      <c r="P202" s="2"/>
      <c r="Q202" s="2"/>
      <c r="R202" s="2"/>
      <c r="S202" s="2"/>
      <c r="T202" s="2"/>
      <c r="U202" s="2"/>
      <c r="V202" s="2"/>
    </row>
    <row r="203" spans="1:22" ht="58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O203" s="4"/>
      <c r="P203" s="2"/>
      <c r="Q203" s="2"/>
      <c r="R203" s="2"/>
      <c r="S203" s="2"/>
      <c r="T203" s="2"/>
      <c r="U203" s="2"/>
      <c r="V203" s="2"/>
    </row>
    <row r="204" spans="1:22" ht="58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O204" s="4"/>
      <c r="P204" s="2"/>
      <c r="Q204" s="2"/>
      <c r="R204" s="2"/>
      <c r="S204" s="2"/>
      <c r="T204" s="2"/>
      <c r="U204" s="2"/>
      <c r="V204" s="2"/>
    </row>
    <row r="205" spans="1:22" ht="58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O205" s="4"/>
      <c r="P205" s="2"/>
      <c r="Q205" s="2"/>
      <c r="R205" s="2"/>
      <c r="S205" s="2"/>
      <c r="T205" s="2"/>
      <c r="U205" s="2"/>
      <c r="V205" s="2"/>
    </row>
    <row r="206" spans="1:22" ht="58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O206" s="4"/>
      <c r="P206" s="2"/>
      <c r="Q206" s="2"/>
      <c r="R206" s="2"/>
      <c r="S206" s="2"/>
      <c r="T206" s="2"/>
      <c r="U206" s="2"/>
      <c r="V206" s="2"/>
    </row>
    <row r="207" spans="1:22" ht="58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O207" s="4"/>
      <c r="P207" s="2"/>
      <c r="Q207" s="2"/>
      <c r="R207" s="2"/>
      <c r="S207" s="2"/>
      <c r="T207" s="2"/>
      <c r="U207" s="2"/>
      <c r="V207" s="2"/>
    </row>
    <row r="208" spans="1:22" ht="58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O208" s="4"/>
      <c r="P208" s="2"/>
      <c r="Q208" s="2"/>
      <c r="R208" s="2"/>
      <c r="S208" s="2"/>
      <c r="T208" s="2"/>
      <c r="U208" s="2"/>
      <c r="V208" s="2"/>
    </row>
    <row r="209" spans="1:22" ht="58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O209" s="4"/>
      <c r="P209" s="2"/>
      <c r="Q209" s="2"/>
      <c r="R209" s="2"/>
      <c r="S209" s="2"/>
      <c r="T209" s="2"/>
      <c r="U209" s="2"/>
      <c r="V209" s="2"/>
    </row>
    <row r="210" spans="1:22" ht="58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O210" s="4"/>
      <c r="P210" s="2"/>
      <c r="Q210" s="2"/>
      <c r="R210" s="2"/>
      <c r="S210" s="2"/>
      <c r="T210" s="2"/>
      <c r="U210" s="2"/>
      <c r="V210" s="2"/>
    </row>
    <row r="211" spans="1:22" ht="58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O211" s="4"/>
      <c r="P211" s="2"/>
      <c r="Q211" s="2"/>
      <c r="R211" s="2"/>
      <c r="S211" s="2"/>
      <c r="T211" s="2"/>
      <c r="U211" s="2"/>
      <c r="V211" s="2"/>
    </row>
    <row r="212" spans="1:22" ht="58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O212" s="4"/>
      <c r="P212" s="2"/>
      <c r="Q212" s="2"/>
      <c r="R212" s="2"/>
      <c r="S212" s="2"/>
      <c r="T212" s="2"/>
      <c r="U212" s="2"/>
      <c r="V212" s="2"/>
    </row>
    <row r="213" spans="1:22" ht="58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O213" s="4"/>
      <c r="P213" s="2"/>
      <c r="Q213" s="2"/>
      <c r="R213" s="2"/>
      <c r="S213" s="2"/>
      <c r="T213" s="2"/>
      <c r="U213" s="2"/>
      <c r="V213" s="2"/>
    </row>
    <row r="214" spans="1:22" ht="58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O214" s="4"/>
      <c r="P214" s="2"/>
      <c r="Q214" s="2"/>
      <c r="R214" s="2"/>
      <c r="S214" s="2"/>
      <c r="T214" s="2"/>
      <c r="U214" s="2"/>
      <c r="V214" s="2"/>
    </row>
    <row r="215" spans="1:22" ht="58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O215" s="4"/>
      <c r="P215" s="2"/>
      <c r="Q215" s="2"/>
      <c r="R215" s="2"/>
      <c r="S215" s="2"/>
      <c r="T215" s="2"/>
      <c r="U215" s="2"/>
      <c r="V215" s="2"/>
    </row>
    <row r="216" spans="1:22" ht="58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O216" s="4"/>
      <c r="P216" s="2"/>
      <c r="Q216" s="2"/>
      <c r="R216" s="2"/>
      <c r="S216" s="2"/>
      <c r="T216" s="2"/>
      <c r="U216" s="2"/>
      <c r="V216" s="2"/>
    </row>
    <row r="217" spans="1:22" ht="58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O217" s="4"/>
      <c r="P217" s="2"/>
      <c r="Q217" s="2"/>
      <c r="R217" s="2"/>
      <c r="S217" s="2"/>
      <c r="T217" s="2"/>
      <c r="U217" s="2"/>
      <c r="V217" s="2"/>
    </row>
    <row r="218" spans="1:22" ht="58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O218" s="4"/>
      <c r="P218" s="2"/>
      <c r="Q218" s="2"/>
      <c r="R218" s="2"/>
      <c r="S218" s="2"/>
      <c r="T218" s="2"/>
      <c r="U218" s="2"/>
      <c r="V218" s="2"/>
    </row>
    <row r="219" spans="1:22" ht="58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O219" s="4"/>
      <c r="P219" s="2"/>
      <c r="Q219" s="2"/>
      <c r="R219" s="2"/>
      <c r="S219" s="2"/>
      <c r="T219" s="2"/>
      <c r="U219" s="2"/>
      <c r="V219" s="2"/>
    </row>
    <row r="220" spans="1:22" ht="58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O220" s="4"/>
      <c r="P220" s="2"/>
      <c r="Q220" s="2"/>
      <c r="R220" s="2"/>
      <c r="S220" s="2"/>
      <c r="T220" s="2"/>
      <c r="U220" s="2"/>
      <c r="V220" s="2"/>
    </row>
    <row r="221" spans="1:22" ht="58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O221" s="4"/>
      <c r="P221" s="2"/>
      <c r="Q221" s="2"/>
      <c r="R221" s="2"/>
      <c r="S221" s="2"/>
      <c r="T221" s="2"/>
      <c r="U221" s="2"/>
      <c r="V221" s="2"/>
    </row>
    <row r="222" spans="1:22" ht="58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O222" s="4"/>
      <c r="P222" s="2"/>
      <c r="Q222" s="2"/>
      <c r="R222" s="2"/>
      <c r="S222" s="2"/>
      <c r="T222" s="2"/>
      <c r="U222" s="2"/>
      <c r="V222" s="2"/>
    </row>
    <row r="223" spans="1:22" ht="58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O223" s="4"/>
      <c r="P223" s="2"/>
      <c r="Q223" s="2"/>
      <c r="R223" s="2"/>
      <c r="S223" s="2"/>
      <c r="T223" s="2"/>
      <c r="U223" s="2"/>
      <c r="V223" s="2"/>
    </row>
    <row r="224" spans="1:22" ht="58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O224" s="4"/>
      <c r="P224" s="2"/>
      <c r="Q224" s="2"/>
      <c r="R224" s="2"/>
      <c r="S224" s="2"/>
      <c r="T224" s="2"/>
      <c r="U224" s="2"/>
      <c r="V224" s="2"/>
    </row>
    <row r="225" spans="1:22" ht="58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O225" s="4"/>
      <c r="P225" s="2"/>
      <c r="Q225" s="2"/>
      <c r="R225" s="2"/>
      <c r="S225" s="2"/>
      <c r="T225" s="2"/>
      <c r="U225" s="2"/>
      <c r="V225" s="2"/>
    </row>
    <row r="226" spans="1:22" ht="58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O226" s="4"/>
      <c r="P226" s="2"/>
      <c r="Q226" s="2"/>
      <c r="R226" s="2"/>
      <c r="S226" s="2"/>
      <c r="T226" s="2"/>
      <c r="U226" s="2"/>
      <c r="V226" s="2"/>
    </row>
    <row r="227" spans="1:22" ht="58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O227" s="4"/>
      <c r="P227" s="2"/>
      <c r="Q227" s="2"/>
      <c r="R227" s="2"/>
      <c r="S227" s="2"/>
      <c r="T227" s="2"/>
      <c r="U227" s="2"/>
      <c r="V227" s="2"/>
    </row>
    <row r="228" spans="1:22" ht="58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O228" s="4"/>
      <c r="P228" s="2"/>
      <c r="Q228" s="2"/>
      <c r="R228" s="2"/>
      <c r="S228" s="2"/>
      <c r="T228" s="2"/>
      <c r="U228" s="2"/>
      <c r="V228" s="2"/>
    </row>
    <row r="229" spans="1:22" ht="58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O229" s="4"/>
      <c r="P229" s="2"/>
      <c r="Q229" s="2"/>
      <c r="R229" s="2"/>
      <c r="S229" s="2"/>
      <c r="T229" s="2"/>
      <c r="U229" s="2"/>
      <c r="V229" s="2"/>
    </row>
    <row r="230" spans="1:22" ht="58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O230" s="4"/>
      <c r="P230" s="2"/>
      <c r="Q230" s="2"/>
      <c r="R230" s="2"/>
      <c r="S230" s="2"/>
      <c r="T230" s="2"/>
      <c r="U230" s="2"/>
      <c r="V230" s="2"/>
    </row>
    <row r="231" spans="1:22" ht="58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O231" s="4"/>
      <c r="P231" s="2"/>
      <c r="Q231" s="2"/>
      <c r="R231" s="2"/>
      <c r="S231" s="2"/>
      <c r="T231" s="2"/>
      <c r="U231" s="2"/>
      <c r="V231" s="2"/>
    </row>
    <row r="232" spans="1:22" ht="58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O232" s="4"/>
      <c r="P232" s="2"/>
      <c r="Q232" s="2"/>
      <c r="R232" s="2"/>
      <c r="S232" s="2"/>
      <c r="T232" s="2"/>
      <c r="U232" s="2"/>
      <c r="V232" s="2"/>
    </row>
    <row r="233" spans="1:22" ht="58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O233" s="4"/>
      <c r="P233" s="2"/>
      <c r="Q233" s="2"/>
      <c r="R233" s="2"/>
      <c r="S233" s="2"/>
      <c r="T233" s="2"/>
      <c r="U233" s="2"/>
      <c r="V233" s="2"/>
    </row>
    <row r="234" spans="1:22" ht="58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O234" s="4"/>
      <c r="P234" s="2"/>
      <c r="Q234" s="2"/>
      <c r="R234" s="2"/>
      <c r="S234" s="2"/>
      <c r="T234" s="2"/>
      <c r="U234" s="2"/>
      <c r="V234" s="2"/>
    </row>
    <row r="235" spans="1:22" ht="58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O235" s="4"/>
      <c r="P235" s="2"/>
      <c r="Q235" s="2"/>
      <c r="R235" s="2"/>
      <c r="S235" s="2"/>
      <c r="T235" s="2"/>
      <c r="U235" s="2"/>
      <c r="V235" s="2"/>
    </row>
    <row r="236" spans="1:22" ht="58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O236" s="4"/>
      <c r="P236" s="2"/>
      <c r="Q236" s="2"/>
      <c r="R236" s="2"/>
      <c r="S236" s="2"/>
      <c r="T236" s="2"/>
      <c r="U236" s="2"/>
      <c r="V236" s="2"/>
    </row>
    <row r="237" spans="1:22" ht="58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O237" s="4"/>
      <c r="P237" s="2"/>
      <c r="Q237" s="2"/>
      <c r="R237" s="2"/>
      <c r="S237" s="2"/>
      <c r="T237" s="2"/>
      <c r="U237" s="2"/>
      <c r="V237" s="2"/>
    </row>
    <row r="238" spans="1:22" ht="58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O238" s="4"/>
      <c r="P238" s="2"/>
      <c r="Q238" s="2"/>
      <c r="R238" s="2"/>
      <c r="S238" s="2"/>
      <c r="T238" s="2"/>
      <c r="U238" s="2"/>
      <c r="V238" s="2"/>
    </row>
    <row r="239" spans="1:22" ht="58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O239" s="4"/>
      <c r="P239" s="2"/>
      <c r="Q239" s="2"/>
      <c r="R239" s="2"/>
      <c r="S239" s="2"/>
      <c r="T239" s="2"/>
      <c r="U239" s="2"/>
      <c r="V239" s="2"/>
    </row>
    <row r="240" spans="1:22" ht="58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O240" s="4"/>
      <c r="P240" s="2"/>
      <c r="Q240" s="2"/>
      <c r="R240" s="2"/>
      <c r="S240" s="2"/>
      <c r="T240" s="2"/>
      <c r="U240" s="2"/>
      <c r="V240" s="2"/>
    </row>
    <row r="241" spans="1:22" ht="58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O241" s="4"/>
      <c r="P241" s="2"/>
      <c r="Q241" s="2"/>
      <c r="R241" s="2"/>
      <c r="S241" s="2"/>
      <c r="T241" s="2"/>
      <c r="U241" s="2"/>
      <c r="V241" s="2"/>
    </row>
    <row r="242" spans="1:22" ht="58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O242" s="4"/>
      <c r="P242" s="2"/>
      <c r="Q242" s="2"/>
      <c r="R242" s="2"/>
      <c r="S242" s="2"/>
      <c r="T242" s="2"/>
      <c r="U242" s="2"/>
      <c r="V242" s="2"/>
    </row>
    <row r="243" spans="1:22" ht="58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O243" s="4"/>
      <c r="P243" s="2"/>
      <c r="Q243" s="2"/>
      <c r="R243" s="2"/>
      <c r="S243" s="2"/>
      <c r="T243" s="2"/>
      <c r="U243" s="2"/>
      <c r="V243" s="2"/>
    </row>
    <row r="244" spans="1:22" ht="58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O244" s="4"/>
      <c r="P244" s="2"/>
      <c r="Q244" s="2"/>
      <c r="R244" s="2"/>
      <c r="S244" s="2"/>
      <c r="T244" s="2"/>
      <c r="U244" s="2"/>
      <c r="V244" s="2"/>
    </row>
    <row r="245" spans="1:22" ht="58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O245" s="4"/>
      <c r="P245" s="2"/>
      <c r="Q245" s="2"/>
      <c r="R245" s="2"/>
      <c r="S245" s="2"/>
      <c r="T245" s="2"/>
      <c r="U245" s="2"/>
      <c r="V245" s="2"/>
    </row>
    <row r="246" spans="1:22" ht="58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O246" s="4"/>
      <c r="P246" s="2"/>
      <c r="Q246" s="2"/>
      <c r="R246" s="2"/>
      <c r="S246" s="2"/>
      <c r="T246" s="2"/>
      <c r="U246" s="2"/>
      <c r="V246" s="2"/>
    </row>
    <row r="247" spans="1:22" ht="58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O247" s="4"/>
      <c r="P247" s="2"/>
      <c r="Q247" s="2"/>
      <c r="R247" s="2"/>
      <c r="S247" s="2"/>
      <c r="T247" s="2"/>
      <c r="U247" s="2"/>
      <c r="V247" s="2"/>
    </row>
    <row r="248" spans="1:22" ht="58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O248" s="4"/>
      <c r="P248" s="2"/>
      <c r="Q248" s="2"/>
      <c r="R248" s="2"/>
      <c r="S248" s="2"/>
      <c r="T248" s="2"/>
      <c r="U248" s="2"/>
      <c r="V248" s="2"/>
    </row>
    <row r="249" spans="1:22" ht="58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O249" s="4"/>
      <c r="P249" s="2"/>
      <c r="Q249" s="2"/>
      <c r="R249" s="2"/>
      <c r="S249" s="2"/>
      <c r="T249" s="2"/>
      <c r="U249" s="2"/>
      <c r="V249" s="2"/>
    </row>
    <row r="250" spans="1:22" ht="58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O250" s="4"/>
      <c r="P250" s="2"/>
      <c r="Q250" s="2"/>
      <c r="R250" s="2"/>
      <c r="S250" s="2"/>
      <c r="T250" s="2"/>
      <c r="U250" s="2"/>
      <c r="V250" s="2"/>
    </row>
    <row r="251" spans="1:22" ht="58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O251" s="4"/>
      <c r="P251" s="2"/>
      <c r="Q251" s="2"/>
      <c r="R251" s="2"/>
      <c r="S251" s="2"/>
      <c r="T251" s="2"/>
      <c r="U251" s="2"/>
      <c r="V251" s="2"/>
    </row>
    <row r="252" spans="1:22" ht="58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O252" s="4"/>
      <c r="P252" s="2"/>
      <c r="Q252" s="2"/>
      <c r="R252" s="2"/>
      <c r="S252" s="2"/>
      <c r="T252" s="2"/>
      <c r="U252" s="2"/>
      <c r="V252" s="2"/>
    </row>
    <row r="253" spans="1:22" ht="58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O253" s="4"/>
      <c r="P253" s="2"/>
      <c r="Q253" s="2"/>
      <c r="R253" s="2"/>
      <c r="S253" s="2"/>
      <c r="T253" s="2"/>
      <c r="U253" s="2"/>
      <c r="V253" s="2"/>
    </row>
    <row r="254" spans="1:22" ht="58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O254" s="4"/>
      <c r="P254" s="2"/>
      <c r="Q254" s="2"/>
      <c r="R254" s="2"/>
      <c r="S254" s="2"/>
      <c r="T254" s="2"/>
      <c r="U254" s="2"/>
      <c r="V254" s="2"/>
    </row>
    <row r="255" spans="1:22" ht="58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O255" s="4"/>
      <c r="P255" s="2"/>
      <c r="Q255" s="2"/>
      <c r="R255" s="2"/>
      <c r="S255" s="2"/>
      <c r="T255" s="2"/>
      <c r="U255" s="2"/>
      <c r="V255" s="2"/>
    </row>
    <row r="256" spans="1:22" ht="58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O256" s="4"/>
      <c r="P256" s="2"/>
      <c r="Q256" s="2"/>
      <c r="R256" s="2"/>
      <c r="S256" s="2"/>
      <c r="T256" s="2"/>
      <c r="U256" s="2"/>
      <c r="V256" s="2"/>
    </row>
    <row r="257" spans="1:22" ht="58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O257" s="4"/>
      <c r="P257" s="2"/>
      <c r="Q257" s="2"/>
      <c r="R257" s="2"/>
      <c r="S257" s="2"/>
      <c r="T257" s="2"/>
      <c r="U257" s="2"/>
      <c r="V257" s="2"/>
    </row>
    <row r="258" spans="1:22" ht="58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O258" s="4"/>
      <c r="P258" s="2"/>
      <c r="Q258" s="2"/>
      <c r="R258" s="2"/>
      <c r="S258" s="2"/>
      <c r="T258" s="2"/>
      <c r="U258" s="2"/>
      <c r="V258" s="2"/>
    </row>
    <row r="259" spans="1:22" ht="58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O259" s="4"/>
      <c r="P259" s="2"/>
      <c r="Q259" s="2"/>
      <c r="R259" s="2"/>
      <c r="S259" s="2"/>
      <c r="T259" s="2"/>
      <c r="U259" s="2"/>
      <c r="V259" s="2"/>
    </row>
    <row r="260" spans="1:22" ht="58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O260" s="4"/>
      <c r="P260" s="2"/>
      <c r="Q260" s="2"/>
      <c r="R260" s="2"/>
      <c r="S260" s="2"/>
      <c r="T260" s="2"/>
      <c r="U260" s="2"/>
      <c r="V260" s="2"/>
    </row>
    <row r="261" spans="1:22" ht="58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O261" s="4"/>
      <c r="P261" s="2"/>
      <c r="Q261" s="2"/>
      <c r="R261" s="2"/>
      <c r="S261" s="2"/>
      <c r="T261" s="2"/>
      <c r="U261" s="2"/>
      <c r="V261" s="2"/>
    </row>
    <row r="262" spans="1:22" ht="58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O262" s="4"/>
      <c r="P262" s="2"/>
      <c r="Q262" s="2"/>
      <c r="R262" s="2"/>
      <c r="S262" s="2"/>
      <c r="T262" s="2"/>
      <c r="U262" s="2"/>
      <c r="V262" s="2"/>
    </row>
    <row r="263" spans="1:22" ht="58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O263" s="4"/>
      <c r="P263" s="2"/>
      <c r="Q263" s="2"/>
      <c r="R263" s="2"/>
      <c r="S263" s="2"/>
      <c r="T263" s="2"/>
      <c r="U263" s="2"/>
      <c r="V263" s="2"/>
    </row>
    <row r="264" spans="1:22" ht="58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O264" s="4"/>
      <c r="P264" s="2"/>
      <c r="Q264" s="2"/>
      <c r="R264" s="2"/>
      <c r="S264" s="2"/>
      <c r="T264" s="2"/>
      <c r="U264" s="2"/>
      <c r="V264" s="2"/>
    </row>
    <row r="265" spans="1:22" ht="58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O265" s="4"/>
      <c r="P265" s="2"/>
      <c r="Q265" s="2"/>
      <c r="R265" s="2"/>
      <c r="S265" s="2"/>
      <c r="T265" s="2"/>
      <c r="U265" s="2"/>
      <c r="V265" s="2"/>
    </row>
    <row r="266" spans="1:22" ht="58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O266" s="4"/>
      <c r="P266" s="2"/>
      <c r="Q266" s="2"/>
      <c r="R266" s="2"/>
      <c r="S266" s="2"/>
      <c r="T266" s="2"/>
      <c r="U266" s="2"/>
      <c r="V266" s="2"/>
    </row>
    <row r="267" spans="1:22" ht="58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O267" s="4"/>
      <c r="P267" s="2"/>
      <c r="Q267" s="2"/>
      <c r="R267" s="2"/>
      <c r="S267" s="2"/>
      <c r="T267" s="2"/>
      <c r="U267" s="2"/>
      <c r="V267" s="2"/>
    </row>
    <row r="268" spans="1:22" ht="58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O268" s="4"/>
      <c r="P268" s="2"/>
      <c r="Q268" s="2"/>
      <c r="R268" s="2"/>
      <c r="S268" s="2"/>
      <c r="T268" s="2"/>
      <c r="U268" s="2"/>
      <c r="V268" s="2"/>
    </row>
    <row r="269" spans="1:22" ht="58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O269" s="4"/>
      <c r="P269" s="2"/>
      <c r="Q269" s="2"/>
      <c r="R269" s="2"/>
      <c r="S269" s="2"/>
      <c r="T269" s="2"/>
      <c r="U269" s="2"/>
      <c r="V269" s="2"/>
    </row>
    <row r="270" spans="1:22" ht="58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O270" s="4"/>
      <c r="P270" s="2"/>
      <c r="Q270" s="2"/>
      <c r="R270" s="2"/>
      <c r="S270" s="2"/>
      <c r="T270" s="2"/>
      <c r="U270" s="2"/>
      <c r="V270" s="2"/>
    </row>
    <row r="271" spans="1:22" ht="58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O271" s="4"/>
      <c r="P271" s="2"/>
      <c r="Q271" s="2"/>
      <c r="R271" s="2"/>
      <c r="S271" s="2"/>
      <c r="T271" s="2"/>
      <c r="U271" s="2"/>
      <c r="V271" s="2"/>
    </row>
    <row r="272" spans="1:22" ht="58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O272" s="4"/>
      <c r="P272" s="2"/>
      <c r="Q272" s="2"/>
      <c r="R272" s="2"/>
      <c r="S272" s="2"/>
      <c r="T272" s="2"/>
      <c r="U272" s="2"/>
      <c r="V272" s="2"/>
    </row>
    <row r="273" spans="1:22" ht="58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O273" s="4"/>
      <c r="P273" s="2"/>
      <c r="Q273" s="2"/>
      <c r="R273" s="2"/>
      <c r="S273" s="2"/>
      <c r="T273" s="2"/>
      <c r="U273" s="2"/>
      <c r="V273" s="2"/>
    </row>
    <row r="274" spans="1:22" ht="58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O274" s="4"/>
      <c r="P274" s="2"/>
      <c r="Q274" s="2"/>
      <c r="R274" s="2"/>
      <c r="S274" s="2"/>
      <c r="T274" s="2"/>
      <c r="U274" s="2"/>
      <c r="V274" s="2"/>
    </row>
    <row r="275" spans="1:22" ht="58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O275" s="4"/>
      <c r="P275" s="2"/>
      <c r="Q275" s="2"/>
      <c r="R275" s="2"/>
      <c r="S275" s="2"/>
      <c r="T275" s="2"/>
      <c r="U275" s="2"/>
      <c r="V275" s="2"/>
    </row>
    <row r="276" spans="1:22" ht="58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O276" s="4"/>
      <c r="P276" s="2"/>
      <c r="Q276" s="2"/>
      <c r="R276" s="2"/>
      <c r="S276" s="2"/>
      <c r="T276" s="2"/>
      <c r="U276" s="2"/>
      <c r="V276" s="2"/>
    </row>
    <row r="277" spans="1:22" ht="58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O277" s="4"/>
      <c r="P277" s="2"/>
      <c r="Q277" s="2"/>
      <c r="R277" s="2"/>
      <c r="S277" s="2"/>
      <c r="T277" s="2"/>
      <c r="U277" s="2"/>
      <c r="V277" s="2"/>
    </row>
    <row r="278" spans="1:22" ht="58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O278" s="4"/>
      <c r="P278" s="2"/>
      <c r="Q278" s="2"/>
      <c r="R278" s="2"/>
      <c r="S278" s="2"/>
      <c r="T278" s="2"/>
      <c r="U278" s="2"/>
      <c r="V278" s="2"/>
    </row>
    <row r="279" spans="1:22" ht="58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O279" s="4"/>
      <c r="P279" s="2"/>
      <c r="Q279" s="2"/>
      <c r="R279" s="2"/>
      <c r="S279" s="2"/>
      <c r="T279" s="2"/>
      <c r="U279" s="2"/>
      <c r="V279" s="2"/>
    </row>
    <row r="280" spans="1:22" ht="58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O280" s="4"/>
      <c r="P280" s="2"/>
      <c r="Q280" s="2"/>
      <c r="R280" s="2"/>
      <c r="S280" s="2"/>
      <c r="T280" s="2"/>
      <c r="U280" s="2"/>
      <c r="V280" s="2"/>
    </row>
    <row r="281" spans="1:22" ht="58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O281" s="4"/>
      <c r="P281" s="2"/>
      <c r="Q281" s="2"/>
      <c r="R281" s="2"/>
      <c r="S281" s="2"/>
      <c r="T281" s="2"/>
      <c r="U281" s="2"/>
      <c r="V281" s="2"/>
    </row>
    <row r="282" spans="1:22" ht="58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O282" s="4"/>
      <c r="P282" s="2"/>
      <c r="Q282" s="2"/>
      <c r="R282" s="2"/>
      <c r="S282" s="2"/>
      <c r="T282" s="2"/>
      <c r="U282" s="2"/>
      <c r="V282" s="2"/>
    </row>
    <row r="283" spans="1:22" ht="58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O283" s="4"/>
      <c r="P283" s="2"/>
      <c r="Q283" s="2"/>
      <c r="R283" s="2"/>
      <c r="S283" s="2"/>
      <c r="T283" s="2"/>
      <c r="U283" s="2"/>
      <c r="V283" s="2"/>
    </row>
    <row r="284" spans="1:22" ht="58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O284" s="4"/>
      <c r="P284" s="2"/>
      <c r="Q284" s="2"/>
      <c r="R284" s="2"/>
      <c r="S284" s="2"/>
      <c r="T284" s="2"/>
      <c r="U284" s="2"/>
      <c r="V284" s="2"/>
    </row>
    <row r="285" spans="1:22" ht="58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O285" s="4"/>
      <c r="P285" s="2"/>
      <c r="Q285" s="2"/>
      <c r="R285" s="2"/>
      <c r="S285" s="2"/>
      <c r="T285" s="2"/>
      <c r="U285" s="2"/>
      <c r="V285" s="2"/>
    </row>
    <row r="286" spans="1:22" ht="58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O286" s="4"/>
      <c r="P286" s="2"/>
      <c r="Q286" s="2"/>
      <c r="R286" s="2"/>
      <c r="S286" s="2"/>
      <c r="T286" s="2"/>
      <c r="U286" s="2"/>
      <c r="V286" s="2"/>
    </row>
    <row r="287" spans="1:22" ht="58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O287" s="4"/>
      <c r="P287" s="2"/>
      <c r="Q287" s="2"/>
      <c r="R287" s="2"/>
      <c r="S287" s="2"/>
      <c r="T287" s="2"/>
      <c r="U287" s="2"/>
      <c r="V287" s="2"/>
    </row>
    <row r="288" spans="1:22" ht="58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O288" s="4"/>
      <c r="P288" s="2"/>
      <c r="Q288" s="2"/>
      <c r="R288" s="2"/>
      <c r="S288" s="2"/>
      <c r="T288" s="2"/>
      <c r="U288" s="2"/>
      <c r="V288" s="2"/>
    </row>
    <row r="289" spans="1:22" ht="58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O289" s="4"/>
      <c r="P289" s="2"/>
      <c r="Q289" s="2"/>
      <c r="R289" s="2"/>
      <c r="S289" s="2"/>
      <c r="T289" s="2"/>
      <c r="U289" s="2"/>
      <c r="V289" s="2"/>
    </row>
    <row r="290" spans="1:22" ht="58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O290" s="4"/>
      <c r="P290" s="2"/>
      <c r="Q290" s="2"/>
      <c r="R290" s="2"/>
      <c r="S290" s="2"/>
      <c r="T290" s="2"/>
      <c r="U290" s="2"/>
      <c r="V290" s="2"/>
    </row>
    <row r="291" spans="1:22" ht="58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O291" s="4"/>
      <c r="P291" s="2"/>
      <c r="Q291" s="2"/>
      <c r="R291" s="2"/>
      <c r="S291" s="2"/>
      <c r="T291" s="2"/>
      <c r="U291" s="2"/>
      <c r="V291" s="2"/>
    </row>
    <row r="292" spans="1:22" ht="58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O292" s="4"/>
      <c r="P292" s="2"/>
      <c r="Q292" s="2"/>
      <c r="R292" s="2"/>
      <c r="S292" s="2"/>
      <c r="T292" s="2"/>
      <c r="U292" s="2"/>
      <c r="V292" s="2"/>
    </row>
    <row r="293" spans="1:22" ht="58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O293" s="4"/>
      <c r="P293" s="2"/>
      <c r="Q293" s="2"/>
      <c r="R293" s="2"/>
      <c r="S293" s="2"/>
      <c r="T293" s="2"/>
      <c r="U293" s="2"/>
      <c r="V293" s="2"/>
    </row>
    <row r="294" spans="1:22" ht="58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O294" s="4"/>
      <c r="P294" s="2"/>
      <c r="Q294" s="2"/>
      <c r="R294" s="2"/>
      <c r="S294" s="2"/>
      <c r="T294" s="2"/>
      <c r="U294" s="2"/>
      <c r="V294" s="2"/>
    </row>
    <row r="295" spans="1:22" ht="58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O295" s="4"/>
      <c r="P295" s="2"/>
      <c r="Q295" s="2"/>
      <c r="R295" s="2"/>
      <c r="S295" s="2"/>
      <c r="T295" s="2"/>
      <c r="U295" s="2"/>
      <c r="V295" s="2"/>
    </row>
    <row r="296" spans="1:22" ht="58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O296" s="4"/>
      <c r="P296" s="2"/>
      <c r="Q296" s="2"/>
      <c r="R296" s="2"/>
      <c r="S296" s="2"/>
      <c r="T296" s="2"/>
      <c r="U296" s="2"/>
      <c r="V296" s="2"/>
    </row>
    <row r="297" spans="1:22" ht="58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O297" s="4"/>
      <c r="P297" s="2"/>
      <c r="Q297" s="2"/>
      <c r="R297" s="2"/>
      <c r="S297" s="2"/>
      <c r="T297" s="2"/>
      <c r="U297" s="2"/>
      <c r="V297" s="2"/>
    </row>
    <row r="298" spans="1:22" ht="58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O298" s="4"/>
      <c r="P298" s="2"/>
      <c r="Q298" s="2"/>
      <c r="R298" s="2"/>
      <c r="S298" s="2"/>
      <c r="T298" s="2"/>
      <c r="U298" s="2"/>
      <c r="V298" s="2"/>
    </row>
    <row r="299" spans="1:22" ht="58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O299" s="4"/>
      <c r="P299" s="2"/>
      <c r="Q299" s="2"/>
      <c r="R299" s="2"/>
      <c r="S299" s="2"/>
      <c r="T299" s="2"/>
      <c r="U299" s="2"/>
      <c r="V299" s="2"/>
    </row>
    <row r="300" spans="1:22" ht="58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O300" s="4"/>
      <c r="P300" s="2"/>
      <c r="Q300" s="2"/>
      <c r="R300" s="2"/>
      <c r="S300" s="2"/>
      <c r="T300" s="2"/>
      <c r="U300" s="2"/>
      <c r="V300" s="2"/>
    </row>
    <row r="301" spans="1:22" ht="58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O301" s="4"/>
      <c r="P301" s="2"/>
      <c r="Q301" s="2"/>
      <c r="R301" s="2"/>
      <c r="S301" s="2"/>
      <c r="T301" s="2"/>
      <c r="U301" s="2"/>
      <c r="V301" s="2"/>
    </row>
  </sheetData>
  <autoFilter ref="A1:V301" xr:uid="{00000000-0009-0000-0000-000004000000}"/>
  <dataValidations count="1">
    <dataValidation type="list" allowBlank="1" showErrorMessage="1" errorTitle="Choose a listed value" error="Use the dropdown or leave blank." sqref="U2:U501" xr:uid="{00000000-0002-0000-0400-000000000000}">
      <formula1>"Hypothesis,Collecting,Measured,Unavailable,Rejected"</formula1>
    </dataValidation>
  </dataValidations>
  <printOptions horizontalCentere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Right="0"/>
    <pageSetUpPr fitToPage="1"/>
  </sheetPr>
  <dimension ref="A1:R6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8" width="25" customWidth="1"/>
    <col min="9" max="9" width="42" customWidth="1"/>
    <col min="10" max="17" width="25" customWidth="1"/>
    <col min="18" max="18" width="42" customWidth="1"/>
  </cols>
  <sheetData>
    <row r="1" spans="1:18" ht="42" customHeight="1" x14ac:dyDescent="0.2">
      <c r="A1" s="1" t="s">
        <v>266</v>
      </c>
      <c r="B1" s="1" t="s">
        <v>122</v>
      </c>
      <c r="C1" s="1" t="s">
        <v>267</v>
      </c>
      <c r="D1" s="1" t="s">
        <v>44</v>
      </c>
      <c r="E1" s="1" t="s">
        <v>268</v>
      </c>
      <c r="F1" s="1" t="s">
        <v>269</v>
      </c>
      <c r="G1" s="1" t="s">
        <v>47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53</v>
      </c>
    </row>
    <row r="2" spans="1:18" ht="58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5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5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58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58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5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58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58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58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5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5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5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5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58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5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5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5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5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58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58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58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58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58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58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58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58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5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58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58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58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58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58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58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58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58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58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58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58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58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58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58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58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58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</sheetData>
  <autoFilter ref="A1:R61" xr:uid="{00000000-0009-0000-0000-000005000000}"/>
  <printOptions horizontalCentere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Right="0"/>
    <pageSetUpPr fitToPage="1"/>
  </sheetPr>
  <dimension ref="A1:M3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3" width="25" customWidth="1"/>
  </cols>
  <sheetData>
    <row r="1" spans="1:13" ht="42" customHeight="1" x14ac:dyDescent="0.2">
      <c r="A1" s="1" t="s">
        <v>280</v>
      </c>
      <c r="B1" s="1" t="s">
        <v>281</v>
      </c>
      <c r="C1" s="1" t="s">
        <v>124</v>
      </c>
      <c r="D1" s="1" t="s">
        <v>44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279</v>
      </c>
    </row>
    <row r="2" spans="1:13" ht="58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5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5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58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58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5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58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58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58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5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5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5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5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autoFilter ref="A1:M31" xr:uid="{00000000-0009-0000-0000-000006000000}"/>
  <printOptions horizontalCentere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Right="0"/>
    <pageSetUpPr fitToPage="1"/>
  </sheetPr>
  <dimension ref="A1:W47"/>
  <sheetViews>
    <sheetView showGridLines="0" workbookViewId="0">
      <pane xSplit="2" ySplit="1" topLeftCell="E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0" width="25" customWidth="1"/>
    <col min="11" max="12" width="42" customWidth="1"/>
    <col min="13" max="15" width="25" customWidth="1"/>
    <col min="16" max="17" width="42" customWidth="1"/>
    <col min="18" max="22" width="25" customWidth="1"/>
    <col min="23" max="23" width="42" customWidth="1"/>
  </cols>
  <sheetData>
    <row r="1" spans="1:23" ht="42" customHeight="1" x14ac:dyDescent="0.2">
      <c r="A1" s="1" t="s">
        <v>290</v>
      </c>
      <c r="B1" s="1" t="s">
        <v>124</v>
      </c>
      <c r="C1" s="1" t="s">
        <v>44</v>
      </c>
      <c r="D1" s="1" t="s">
        <v>47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73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  <c r="O1" s="1" t="s">
        <v>300</v>
      </c>
      <c r="P1" s="1" t="s">
        <v>301</v>
      </c>
      <c r="Q1" s="1" t="s">
        <v>264</v>
      </c>
      <c r="R1" s="1" t="s">
        <v>302</v>
      </c>
      <c r="S1" s="1" t="s">
        <v>303</v>
      </c>
      <c r="T1" s="1" t="s">
        <v>304</v>
      </c>
      <c r="U1" s="1" t="s">
        <v>3</v>
      </c>
      <c r="V1" s="1" t="s">
        <v>305</v>
      </c>
      <c r="W1" s="1" t="s">
        <v>306</v>
      </c>
    </row>
    <row r="2" spans="1:23" ht="58" customHeight="1" x14ac:dyDescent="0.2">
      <c r="A2" s="2" t="s">
        <v>307</v>
      </c>
      <c r="B2" s="2" t="s">
        <v>129</v>
      </c>
      <c r="C2" s="2" t="s">
        <v>54</v>
      </c>
      <c r="D2" s="2" t="s">
        <v>80</v>
      </c>
      <c r="E2" s="2" t="s">
        <v>128</v>
      </c>
      <c r="F2" s="2" t="s">
        <v>135</v>
      </c>
      <c r="G2" s="2" t="s">
        <v>308</v>
      </c>
      <c r="H2" s="2" t="s">
        <v>79</v>
      </c>
      <c r="I2" s="2" t="s">
        <v>309</v>
      </c>
      <c r="J2" s="2" t="s">
        <v>310</v>
      </c>
      <c r="K2" s="2"/>
      <c r="L2" s="2"/>
      <c r="M2" s="2"/>
      <c r="N2" s="2"/>
      <c r="O2" s="2"/>
      <c r="P2" s="2"/>
      <c r="Q2" s="2" t="s">
        <v>132</v>
      </c>
      <c r="R2" s="5" t="str">
        <f t="shared" ref="R2:R47" si="0">IF(OR(Q2&lt;&gt;"Validated",COUNT(M2:P2)&lt;4),"",ROUND(20*(0.4*M2+0.3*N2+0.2*O2+0.1*P2),0))</f>
        <v/>
      </c>
      <c r="S2" s="2"/>
      <c r="T2" s="2" t="s">
        <v>311</v>
      </c>
      <c r="U2" s="2" t="s">
        <v>8</v>
      </c>
      <c r="V2" s="2"/>
      <c r="W2" s="2"/>
    </row>
    <row r="3" spans="1:23" ht="58" customHeight="1" x14ac:dyDescent="0.2">
      <c r="A3" s="2" t="s">
        <v>312</v>
      </c>
      <c r="B3" s="2" t="s">
        <v>129</v>
      </c>
      <c r="C3" s="2" t="s">
        <v>61</v>
      </c>
      <c r="D3" s="2" t="s">
        <v>80</v>
      </c>
      <c r="E3" s="2" t="s">
        <v>128</v>
      </c>
      <c r="F3" s="2" t="s">
        <v>135</v>
      </c>
      <c r="G3" s="2" t="s">
        <v>308</v>
      </c>
      <c r="H3" s="2" t="s">
        <v>79</v>
      </c>
      <c r="I3" s="2" t="s">
        <v>309</v>
      </c>
      <c r="J3" s="2" t="s">
        <v>310</v>
      </c>
      <c r="K3" s="2"/>
      <c r="L3" s="2"/>
      <c r="M3" s="2"/>
      <c r="N3" s="2"/>
      <c r="O3" s="2"/>
      <c r="P3" s="2"/>
      <c r="Q3" s="2" t="s">
        <v>132</v>
      </c>
      <c r="R3" s="5" t="str">
        <f t="shared" si="0"/>
        <v/>
      </c>
      <c r="S3" s="2"/>
      <c r="T3" s="2" t="s">
        <v>311</v>
      </c>
      <c r="U3" s="2" t="s">
        <v>8</v>
      </c>
      <c r="V3" s="2"/>
      <c r="W3" s="2"/>
    </row>
    <row r="4" spans="1:23" ht="58" customHeight="1" x14ac:dyDescent="0.2">
      <c r="A4" s="2" t="s">
        <v>313</v>
      </c>
      <c r="B4" s="2" t="s">
        <v>129</v>
      </c>
      <c r="C4" s="2" t="s">
        <v>65</v>
      </c>
      <c r="D4" s="2" t="s">
        <v>80</v>
      </c>
      <c r="E4" s="2" t="s">
        <v>128</v>
      </c>
      <c r="F4" s="2" t="s">
        <v>135</v>
      </c>
      <c r="G4" s="2" t="s">
        <v>308</v>
      </c>
      <c r="H4" s="2" t="s">
        <v>79</v>
      </c>
      <c r="I4" s="2" t="s">
        <v>309</v>
      </c>
      <c r="J4" s="2" t="s">
        <v>310</v>
      </c>
      <c r="K4" s="2"/>
      <c r="L4" s="2"/>
      <c r="M4" s="2"/>
      <c r="N4" s="2"/>
      <c r="O4" s="2"/>
      <c r="P4" s="2"/>
      <c r="Q4" s="2" t="s">
        <v>132</v>
      </c>
      <c r="R4" s="5" t="str">
        <f t="shared" si="0"/>
        <v/>
      </c>
      <c r="S4" s="2"/>
      <c r="T4" s="2" t="s">
        <v>311</v>
      </c>
      <c r="U4" s="2" t="s">
        <v>8</v>
      </c>
      <c r="V4" s="2"/>
      <c r="W4" s="2"/>
    </row>
    <row r="5" spans="1:23" ht="58" customHeight="1" x14ac:dyDescent="0.2">
      <c r="A5" s="2" t="s">
        <v>314</v>
      </c>
      <c r="B5" s="2" t="s">
        <v>142</v>
      </c>
      <c r="C5" s="2" t="s">
        <v>54</v>
      </c>
      <c r="D5" s="2" t="s">
        <v>80</v>
      </c>
      <c r="E5" s="2" t="s">
        <v>141</v>
      </c>
      <c r="F5" s="2" t="s">
        <v>315</v>
      </c>
      <c r="G5" s="2" t="s">
        <v>308</v>
      </c>
      <c r="H5" s="2" t="s">
        <v>86</v>
      </c>
      <c r="I5" s="2" t="s">
        <v>309</v>
      </c>
      <c r="J5" s="2" t="s">
        <v>316</v>
      </c>
      <c r="K5" s="2"/>
      <c r="L5" s="2"/>
      <c r="M5" s="2"/>
      <c r="N5" s="2"/>
      <c r="O5" s="2"/>
      <c r="P5" s="2"/>
      <c r="Q5" s="2" t="s">
        <v>132</v>
      </c>
      <c r="R5" s="5" t="str">
        <f t="shared" si="0"/>
        <v/>
      </c>
      <c r="S5" s="2"/>
      <c r="T5" s="2" t="s">
        <v>317</v>
      </c>
      <c r="U5" s="2" t="s">
        <v>8</v>
      </c>
      <c r="V5" s="2"/>
      <c r="W5" s="2"/>
    </row>
    <row r="6" spans="1:23" ht="58" customHeight="1" x14ac:dyDescent="0.2">
      <c r="A6" s="2" t="s">
        <v>318</v>
      </c>
      <c r="B6" s="2" t="s">
        <v>142</v>
      </c>
      <c r="C6" s="2" t="s">
        <v>61</v>
      </c>
      <c r="D6" s="2" t="s">
        <v>80</v>
      </c>
      <c r="E6" s="2" t="s">
        <v>141</v>
      </c>
      <c r="F6" s="2" t="s">
        <v>315</v>
      </c>
      <c r="G6" s="2" t="s">
        <v>308</v>
      </c>
      <c r="H6" s="2" t="s">
        <v>86</v>
      </c>
      <c r="I6" s="2" t="s">
        <v>309</v>
      </c>
      <c r="J6" s="2" t="s">
        <v>316</v>
      </c>
      <c r="K6" s="2"/>
      <c r="L6" s="2"/>
      <c r="M6" s="2"/>
      <c r="N6" s="2"/>
      <c r="O6" s="2"/>
      <c r="P6" s="2"/>
      <c r="Q6" s="2" t="s">
        <v>132</v>
      </c>
      <c r="R6" s="5" t="str">
        <f t="shared" si="0"/>
        <v/>
      </c>
      <c r="S6" s="2"/>
      <c r="T6" s="2" t="s">
        <v>317</v>
      </c>
      <c r="U6" s="2" t="s">
        <v>8</v>
      </c>
      <c r="V6" s="2"/>
      <c r="W6" s="2"/>
    </row>
    <row r="7" spans="1:23" ht="58" customHeight="1" x14ac:dyDescent="0.2">
      <c r="A7" s="2" t="s">
        <v>319</v>
      </c>
      <c r="B7" s="2" t="s">
        <v>142</v>
      </c>
      <c r="C7" s="2" t="s">
        <v>65</v>
      </c>
      <c r="D7" s="2" t="s">
        <v>80</v>
      </c>
      <c r="E7" s="2" t="s">
        <v>141</v>
      </c>
      <c r="F7" s="2" t="s">
        <v>315</v>
      </c>
      <c r="G7" s="2" t="s">
        <v>308</v>
      </c>
      <c r="H7" s="2" t="s">
        <v>86</v>
      </c>
      <c r="I7" s="2" t="s">
        <v>309</v>
      </c>
      <c r="J7" s="2" t="s">
        <v>316</v>
      </c>
      <c r="K7" s="2"/>
      <c r="L7" s="2"/>
      <c r="M7" s="2"/>
      <c r="N7" s="2"/>
      <c r="O7" s="2"/>
      <c r="P7" s="2"/>
      <c r="Q7" s="2" t="s">
        <v>132</v>
      </c>
      <c r="R7" s="5" t="str">
        <f t="shared" si="0"/>
        <v/>
      </c>
      <c r="S7" s="2"/>
      <c r="T7" s="2" t="s">
        <v>317</v>
      </c>
      <c r="U7" s="2" t="s">
        <v>8</v>
      </c>
      <c r="V7" s="2"/>
      <c r="W7" s="2"/>
    </row>
    <row r="8" spans="1:23" ht="58" customHeight="1" x14ac:dyDescent="0.2">
      <c r="A8" s="2" t="s">
        <v>320</v>
      </c>
      <c r="B8" s="2" t="s">
        <v>159</v>
      </c>
      <c r="C8" s="2" t="s">
        <v>54</v>
      </c>
      <c r="D8" s="2" t="s">
        <v>80</v>
      </c>
      <c r="E8" s="2" t="s">
        <v>158</v>
      </c>
      <c r="F8" s="2" t="s">
        <v>321</v>
      </c>
      <c r="G8" s="2" t="s">
        <v>308</v>
      </c>
      <c r="H8" s="2" t="s">
        <v>86</v>
      </c>
      <c r="I8" s="2" t="s">
        <v>309</v>
      </c>
      <c r="J8" s="2" t="s">
        <v>316</v>
      </c>
      <c r="K8" s="2"/>
      <c r="L8" s="2"/>
      <c r="M8" s="2"/>
      <c r="N8" s="2"/>
      <c r="O8" s="2"/>
      <c r="P8" s="2"/>
      <c r="Q8" s="2" t="s">
        <v>132</v>
      </c>
      <c r="R8" s="5" t="str">
        <f t="shared" si="0"/>
        <v/>
      </c>
      <c r="S8" s="2"/>
      <c r="T8" s="2" t="s">
        <v>317</v>
      </c>
      <c r="U8" s="2" t="s">
        <v>8</v>
      </c>
      <c r="V8" s="2"/>
      <c r="W8" s="2"/>
    </row>
    <row r="9" spans="1:23" ht="58" customHeight="1" x14ac:dyDescent="0.2">
      <c r="A9" s="2" t="s">
        <v>322</v>
      </c>
      <c r="B9" s="2" t="s">
        <v>159</v>
      </c>
      <c r="C9" s="2" t="s">
        <v>61</v>
      </c>
      <c r="D9" s="2" t="s">
        <v>80</v>
      </c>
      <c r="E9" s="2" t="s">
        <v>158</v>
      </c>
      <c r="F9" s="2" t="s">
        <v>321</v>
      </c>
      <c r="G9" s="2" t="s">
        <v>308</v>
      </c>
      <c r="H9" s="2" t="s">
        <v>86</v>
      </c>
      <c r="I9" s="2" t="s">
        <v>309</v>
      </c>
      <c r="J9" s="2" t="s">
        <v>316</v>
      </c>
      <c r="K9" s="2"/>
      <c r="L9" s="2"/>
      <c r="M9" s="2"/>
      <c r="N9" s="2"/>
      <c r="O9" s="2"/>
      <c r="P9" s="2"/>
      <c r="Q9" s="2" t="s">
        <v>132</v>
      </c>
      <c r="R9" s="5" t="str">
        <f t="shared" si="0"/>
        <v/>
      </c>
      <c r="S9" s="2"/>
      <c r="T9" s="2" t="s">
        <v>317</v>
      </c>
      <c r="U9" s="2" t="s">
        <v>8</v>
      </c>
      <c r="V9" s="2"/>
      <c r="W9" s="2"/>
    </row>
    <row r="10" spans="1:23" ht="58" customHeight="1" x14ac:dyDescent="0.2">
      <c r="A10" s="2" t="s">
        <v>323</v>
      </c>
      <c r="B10" s="2" t="s">
        <v>159</v>
      </c>
      <c r="C10" s="2" t="s">
        <v>65</v>
      </c>
      <c r="D10" s="2" t="s">
        <v>80</v>
      </c>
      <c r="E10" s="2" t="s">
        <v>158</v>
      </c>
      <c r="F10" s="2" t="s">
        <v>321</v>
      </c>
      <c r="G10" s="2" t="s">
        <v>308</v>
      </c>
      <c r="H10" s="2" t="s">
        <v>86</v>
      </c>
      <c r="I10" s="2" t="s">
        <v>309</v>
      </c>
      <c r="J10" s="2" t="s">
        <v>316</v>
      </c>
      <c r="K10" s="2"/>
      <c r="L10" s="2"/>
      <c r="M10" s="2"/>
      <c r="N10" s="2"/>
      <c r="O10" s="2"/>
      <c r="P10" s="2"/>
      <c r="Q10" s="2" t="s">
        <v>132</v>
      </c>
      <c r="R10" s="5" t="str">
        <f t="shared" si="0"/>
        <v/>
      </c>
      <c r="S10" s="2"/>
      <c r="T10" s="2" t="s">
        <v>317</v>
      </c>
      <c r="U10" s="2" t="s">
        <v>8</v>
      </c>
      <c r="V10" s="2"/>
      <c r="W10" s="2"/>
    </row>
    <row r="11" spans="1:23" ht="58" customHeight="1" x14ac:dyDescent="0.2">
      <c r="A11" s="2" t="s">
        <v>324</v>
      </c>
      <c r="B11" s="2" t="s">
        <v>176</v>
      </c>
      <c r="C11" s="2" t="s">
        <v>54</v>
      </c>
      <c r="D11" s="2" t="s">
        <v>80</v>
      </c>
      <c r="E11" s="2" t="s">
        <v>175</v>
      </c>
      <c r="F11" s="2" t="s">
        <v>325</v>
      </c>
      <c r="G11" s="2" t="s">
        <v>308</v>
      </c>
      <c r="H11" s="2" t="s">
        <v>86</v>
      </c>
      <c r="I11" s="2" t="s">
        <v>309</v>
      </c>
      <c r="J11" s="2" t="s">
        <v>316</v>
      </c>
      <c r="K11" s="2"/>
      <c r="L11" s="2"/>
      <c r="M11" s="2"/>
      <c r="N11" s="2"/>
      <c r="O11" s="2"/>
      <c r="P11" s="2"/>
      <c r="Q11" s="2" t="s">
        <v>132</v>
      </c>
      <c r="R11" s="5" t="str">
        <f t="shared" si="0"/>
        <v/>
      </c>
      <c r="S11" s="2"/>
      <c r="T11" s="2" t="s">
        <v>317</v>
      </c>
      <c r="U11" s="2" t="s">
        <v>8</v>
      </c>
      <c r="V11" s="2"/>
      <c r="W11" s="2"/>
    </row>
    <row r="12" spans="1:23" ht="58" customHeight="1" x14ac:dyDescent="0.2">
      <c r="A12" s="2" t="s">
        <v>326</v>
      </c>
      <c r="B12" s="2" t="s">
        <v>176</v>
      </c>
      <c r="C12" s="2" t="s">
        <v>61</v>
      </c>
      <c r="D12" s="2" t="s">
        <v>80</v>
      </c>
      <c r="E12" s="2" t="s">
        <v>175</v>
      </c>
      <c r="F12" s="2" t="s">
        <v>325</v>
      </c>
      <c r="G12" s="2" t="s">
        <v>308</v>
      </c>
      <c r="H12" s="2" t="s">
        <v>86</v>
      </c>
      <c r="I12" s="2" t="s">
        <v>309</v>
      </c>
      <c r="J12" s="2" t="s">
        <v>316</v>
      </c>
      <c r="K12" s="2"/>
      <c r="L12" s="2"/>
      <c r="M12" s="2"/>
      <c r="N12" s="2"/>
      <c r="O12" s="2"/>
      <c r="P12" s="2"/>
      <c r="Q12" s="2" t="s">
        <v>132</v>
      </c>
      <c r="R12" s="5" t="str">
        <f t="shared" si="0"/>
        <v/>
      </c>
      <c r="S12" s="2"/>
      <c r="T12" s="2" t="s">
        <v>317</v>
      </c>
      <c r="U12" s="2" t="s">
        <v>8</v>
      </c>
      <c r="V12" s="2"/>
      <c r="W12" s="2"/>
    </row>
    <row r="13" spans="1:23" ht="58" customHeight="1" x14ac:dyDescent="0.2">
      <c r="A13" s="2" t="s">
        <v>327</v>
      </c>
      <c r="B13" s="2" t="s">
        <v>176</v>
      </c>
      <c r="C13" s="2" t="s">
        <v>65</v>
      </c>
      <c r="D13" s="2" t="s">
        <v>80</v>
      </c>
      <c r="E13" s="2" t="s">
        <v>175</v>
      </c>
      <c r="F13" s="2" t="s">
        <v>325</v>
      </c>
      <c r="G13" s="2" t="s">
        <v>308</v>
      </c>
      <c r="H13" s="2" t="s">
        <v>86</v>
      </c>
      <c r="I13" s="2" t="s">
        <v>309</v>
      </c>
      <c r="J13" s="2" t="s">
        <v>316</v>
      </c>
      <c r="K13" s="2"/>
      <c r="L13" s="2"/>
      <c r="M13" s="2"/>
      <c r="N13" s="2"/>
      <c r="O13" s="2"/>
      <c r="P13" s="2"/>
      <c r="Q13" s="2" t="s">
        <v>132</v>
      </c>
      <c r="R13" s="5" t="str">
        <f t="shared" si="0"/>
        <v/>
      </c>
      <c r="S13" s="2"/>
      <c r="T13" s="2" t="s">
        <v>317</v>
      </c>
      <c r="U13" s="2" t="s">
        <v>8</v>
      </c>
      <c r="V13" s="2"/>
      <c r="W13" s="2"/>
    </row>
    <row r="14" spans="1:23" ht="58" customHeight="1" x14ac:dyDescent="0.2">
      <c r="A14" s="2" t="s">
        <v>328</v>
      </c>
      <c r="B14" s="2" t="s">
        <v>193</v>
      </c>
      <c r="C14" s="2" t="s">
        <v>54</v>
      </c>
      <c r="D14" s="2" t="s">
        <v>80</v>
      </c>
      <c r="E14" s="2" t="s">
        <v>192</v>
      </c>
      <c r="F14" s="2" t="s">
        <v>329</v>
      </c>
      <c r="G14" s="2" t="s">
        <v>308</v>
      </c>
      <c r="H14" s="2" t="s">
        <v>86</v>
      </c>
      <c r="I14" s="2" t="s">
        <v>309</v>
      </c>
      <c r="J14" s="2" t="s">
        <v>316</v>
      </c>
      <c r="K14" s="2"/>
      <c r="L14" s="2"/>
      <c r="M14" s="2"/>
      <c r="N14" s="2"/>
      <c r="O14" s="2"/>
      <c r="P14" s="2"/>
      <c r="Q14" s="2" t="s">
        <v>132</v>
      </c>
      <c r="R14" s="5" t="str">
        <f t="shared" si="0"/>
        <v/>
      </c>
      <c r="S14" s="2"/>
      <c r="T14" s="2" t="s">
        <v>317</v>
      </c>
      <c r="U14" s="2" t="s">
        <v>8</v>
      </c>
      <c r="V14" s="2"/>
      <c r="W14" s="2"/>
    </row>
    <row r="15" spans="1:23" ht="58" customHeight="1" x14ac:dyDescent="0.2">
      <c r="A15" s="2" t="s">
        <v>330</v>
      </c>
      <c r="B15" s="2" t="s">
        <v>193</v>
      </c>
      <c r="C15" s="2" t="s">
        <v>61</v>
      </c>
      <c r="D15" s="2" t="s">
        <v>80</v>
      </c>
      <c r="E15" s="2" t="s">
        <v>192</v>
      </c>
      <c r="F15" s="2" t="s">
        <v>329</v>
      </c>
      <c r="G15" s="2" t="s">
        <v>308</v>
      </c>
      <c r="H15" s="2" t="s">
        <v>86</v>
      </c>
      <c r="I15" s="2" t="s">
        <v>309</v>
      </c>
      <c r="J15" s="2" t="s">
        <v>316</v>
      </c>
      <c r="K15" s="2"/>
      <c r="L15" s="2"/>
      <c r="M15" s="2"/>
      <c r="N15" s="2"/>
      <c r="O15" s="2"/>
      <c r="P15" s="2"/>
      <c r="Q15" s="2" t="s">
        <v>132</v>
      </c>
      <c r="R15" s="5" t="str">
        <f t="shared" si="0"/>
        <v/>
      </c>
      <c r="S15" s="2"/>
      <c r="T15" s="2" t="s">
        <v>317</v>
      </c>
      <c r="U15" s="2" t="s">
        <v>8</v>
      </c>
      <c r="V15" s="2"/>
      <c r="W15" s="2"/>
    </row>
    <row r="16" spans="1:23" ht="58" customHeight="1" x14ac:dyDescent="0.2">
      <c r="A16" s="2" t="s">
        <v>331</v>
      </c>
      <c r="B16" s="2" t="s">
        <v>193</v>
      </c>
      <c r="C16" s="2" t="s">
        <v>65</v>
      </c>
      <c r="D16" s="2" t="s">
        <v>80</v>
      </c>
      <c r="E16" s="2" t="s">
        <v>192</v>
      </c>
      <c r="F16" s="2" t="s">
        <v>329</v>
      </c>
      <c r="G16" s="2" t="s">
        <v>308</v>
      </c>
      <c r="H16" s="2" t="s">
        <v>86</v>
      </c>
      <c r="I16" s="2" t="s">
        <v>309</v>
      </c>
      <c r="J16" s="2" t="s">
        <v>316</v>
      </c>
      <c r="K16" s="2"/>
      <c r="L16" s="2"/>
      <c r="M16" s="2"/>
      <c r="N16" s="2"/>
      <c r="O16" s="2"/>
      <c r="P16" s="2"/>
      <c r="Q16" s="2" t="s">
        <v>132</v>
      </c>
      <c r="R16" s="5" t="str">
        <f t="shared" si="0"/>
        <v/>
      </c>
      <c r="S16" s="2"/>
      <c r="T16" s="2" t="s">
        <v>317</v>
      </c>
      <c r="U16" s="2" t="s">
        <v>8</v>
      </c>
      <c r="V16" s="2"/>
      <c r="W16" s="2"/>
    </row>
    <row r="17" spans="1:23" ht="58" customHeight="1" x14ac:dyDescent="0.2">
      <c r="A17" s="2" t="s">
        <v>332</v>
      </c>
      <c r="B17" s="2" t="s">
        <v>206</v>
      </c>
      <c r="C17" s="2" t="s">
        <v>54</v>
      </c>
      <c r="D17" s="2" t="s">
        <v>80</v>
      </c>
      <c r="E17" s="2" t="s">
        <v>205</v>
      </c>
      <c r="F17" s="2" t="s">
        <v>333</v>
      </c>
      <c r="G17" s="2" t="s">
        <v>308</v>
      </c>
      <c r="H17" s="2" t="s">
        <v>86</v>
      </c>
      <c r="I17" s="2" t="s">
        <v>309</v>
      </c>
      <c r="J17" s="2" t="s">
        <v>334</v>
      </c>
      <c r="K17" s="2"/>
      <c r="L17" s="2"/>
      <c r="M17" s="2"/>
      <c r="N17" s="2"/>
      <c r="O17" s="2"/>
      <c r="P17" s="2"/>
      <c r="Q17" s="2" t="s">
        <v>132</v>
      </c>
      <c r="R17" s="5" t="str">
        <f t="shared" si="0"/>
        <v/>
      </c>
      <c r="S17" s="2"/>
      <c r="T17" s="2" t="s">
        <v>317</v>
      </c>
      <c r="U17" s="2" t="s">
        <v>8</v>
      </c>
      <c r="V17" s="2"/>
      <c r="W17" s="2"/>
    </row>
    <row r="18" spans="1:23" ht="58" customHeight="1" x14ac:dyDescent="0.2">
      <c r="A18" s="2" t="s">
        <v>335</v>
      </c>
      <c r="B18" s="2" t="s">
        <v>206</v>
      </c>
      <c r="C18" s="2" t="s">
        <v>67</v>
      </c>
      <c r="D18" s="2" t="s">
        <v>80</v>
      </c>
      <c r="E18" s="2" t="s">
        <v>205</v>
      </c>
      <c r="F18" s="2" t="s">
        <v>333</v>
      </c>
      <c r="G18" s="2" t="s">
        <v>308</v>
      </c>
      <c r="H18" s="2" t="s">
        <v>86</v>
      </c>
      <c r="I18" s="2" t="s">
        <v>309</v>
      </c>
      <c r="J18" s="2" t="s">
        <v>334</v>
      </c>
      <c r="K18" s="2"/>
      <c r="L18" s="2"/>
      <c r="M18" s="2"/>
      <c r="N18" s="2"/>
      <c r="O18" s="2"/>
      <c r="P18" s="2"/>
      <c r="Q18" s="2" t="s">
        <v>132</v>
      </c>
      <c r="R18" s="5" t="str">
        <f t="shared" si="0"/>
        <v/>
      </c>
      <c r="S18" s="2"/>
      <c r="T18" s="2" t="s">
        <v>317</v>
      </c>
      <c r="U18" s="2" t="s">
        <v>8</v>
      </c>
      <c r="V18" s="2"/>
      <c r="W18" s="2"/>
    </row>
    <row r="19" spans="1:23" ht="58" customHeight="1" x14ac:dyDescent="0.2">
      <c r="A19" s="2" t="s">
        <v>336</v>
      </c>
      <c r="B19" s="2" t="s">
        <v>218</v>
      </c>
      <c r="C19" s="2" t="s">
        <v>54</v>
      </c>
      <c r="D19" s="2" t="s">
        <v>80</v>
      </c>
      <c r="E19" s="2" t="s">
        <v>217</v>
      </c>
      <c r="F19" s="2" t="s">
        <v>337</v>
      </c>
      <c r="G19" s="2" t="s">
        <v>308</v>
      </c>
      <c r="H19" s="2" t="s">
        <v>89</v>
      </c>
      <c r="I19" s="2" t="s">
        <v>309</v>
      </c>
      <c r="J19" s="2" t="s">
        <v>334</v>
      </c>
      <c r="K19" s="2"/>
      <c r="L19" s="2"/>
      <c r="M19" s="2"/>
      <c r="N19" s="2"/>
      <c r="O19" s="2"/>
      <c r="P19" s="2"/>
      <c r="Q19" s="2" t="s">
        <v>132</v>
      </c>
      <c r="R19" s="5" t="str">
        <f t="shared" si="0"/>
        <v/>
      </c>
      <c r="S19" s="2"/>
      <c r="T19" s="2" t="s">
        <v>338</v>
      </c>
      <c r="U19" s="2" t="s">
        <v>8</v>
      </c>
      <c r="V19" s="2"/>
      <c r="W19" s="2"/>
    </row>
    <row r="20" spans="1:23" ht="58" customHeight="1" x14ac:dyDescent="0.2">
      <c r="A20" s="2" t="s">
        <v>339</v>
      </c>
      <c r="B20" s="2" t="s">
        <v>228</v>
      </c>
      <c r="C20" s="2" t="s">
        <v>54</v>
      </c>
      <c r="D20" s="2" t="s">
        <v>80</v>
      </c>
      <c r="E20" s="2" t="s">
        <v>227</v>
      </c>
      <c r="F20" s="2" t="s">
        <v>340</v>
      </c>
      <c r="G20" s="2" t="s">
        <v>308</v>
      </c>
      <c r="H20" s="2" t="s">
        <v>114</v>
      </c>
      <c r="I20" s="2" t="s">
        <v>341</v>
      </c>
      <c r="J20" s="2" t="s">
        <v>342</v>
      </c>
      <c r="K20" s="2"/>
      <c r="L20" s="2"/>
      <c r="M20" s="2"/>
      <c r="N20" s="2"/>
      <c r="O20" s="2"/>
      <c r="P20" s="2"/>
      <c r="Q20" s="2" t="s">
        <v>132</v>
      </c>
      <c r="R20" s="5" t="str">
        <f t="shared" si="0"/>
        <v/>
      </c>
      <c r="S20" s="2"/>
      <c r="T20" s="2" t="s">
        <v>338</v>
      </c>
      <c r="U20" s="2" t="s">
        <v>8</v>
      </c>
      <c r="V20" s="2"/>
      <c r="W20" s="2"/>
    </row>
    <row r="21" spans="1:23" ht="58" customHeight="1" x14ac:dyDescent="0.2">
      <c r="A21" s="2" t="s">
        <v>343</v>
      </c>
      <c r="B21" s="2" t="s">
        <v>236</v>
      </c>
      <c r="C21" s="2" t="s">
        <v>54</v>
      </c>
      <c r="D21" s="2" t="s">
        <v>80</v>
      </c>
      <c r="E21" s="2" t="s">
        <v>235</v>
      </c>
      <c r="F21" s="2" t="s">
        <v>239</v>
      </c>
      <c r="G21" s="2" t="s">
        <v>308</v>
      </c>
      <c r="H21" s="2" t="s">
        <v>117</v>
      </c>
      <c r="I21" s="2" t="s">
        <v>341</v>
      </c>
      <c r="J21" s="2" t="s">
        <v>342</v>
      </c>
      <c r="K21" s="2"/>
      <c r="L21" s="2"/>
      <c r="M21" s="2"/>
      <c r="N21" s="2"/>
      <c r="O21" s="2"/>
      <c r="P21" s="2"/>
      <c r="Q21" s="2" t="s">
        <v>132</v>
      </c>
      <c r="R21" s="5" t="str">
        <f t="shared" si="0"/>
        <v/>
      </c>
      <c r="S21" s="2"/>
      <c r="T21" s="2" t="s">
        <v>338</v>
      </c>
      <c r="U21" s="2" t="s">
        <v>8</v>
      </c>
      <c r="V21" s="2"/>
      <c r="W21" s="2"/>
    </row>
    <row r="22" spans="1:23" ht="58" customHeight="1" x14ac:dyDescent="0.2">
      <c r="A22" s="2" t="s">
        <v>344</v>
      </c>
      <c r="B22" s="2" t="s">
        <v>242</v>
      </c>
      <c r="C22" s="2" t="s">
        <v>54</v>
      </c>
      <c r="D22" s="2" t="s">
        <v>80</v>
      </c>
      <c r="E22" s="2" t="s">
        <v>241</v>
      </c>
      <c r="F22" s="2" t="s">
        <v>345</v>
      </c>
      <c r="G22" s="2" t="s">
        <v>308</v>
      </c>
      <c r="H22" s="2" t="s">
        <v>89</v>
      </c>
      <c r="I22" s="2" t="s">
        <v>309</v>
      </c>
      <c r="J22" s="2" t="s">
        <v>346</v>
      </c>
      <c r="K22" s="2"/>
      <c r="L22" s="2"/>
      <c r="M22" s="2"/>
      <c r="N22" s="2"/>
      <c r="O22" s="2"/>
      <c r="P22" s="2"/>
      <c r="Q22" s="2" t="s">
        <v>132</v>
      </c>
      <c r="R22" s="5" t="str">
        <f t="shared" si="0"/>
        <v/>
      </c>
      <c r="S22" s="2"/>
      <c r="T22" s="2" t="s">
        <v>338</v>
      </c>
      <c r="U22" s="2" t="s">
        <v>8</v>
      </c>
      <c r="V22" s="2"/>
      <c r="W22" s="2"/>
    </row>
    <row r="23" spans="1:23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5" t="str">
        <f t="shared" si="0"/>
        <v/>
      </c>
      <c r="S23" s="2"/>
      <c r="T23" s="2"/>
      <c r="U23" s="2"/>
      <c r="V23" s="2"/>
      <c r="W23" s="2"/>
    </row>
    <row r="24" spans="1:23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5" t="str">
        <f t="shared" si="0"/>
        <v/>
      </c>
      <c r="S24" s="2"/>
      <c r="T24" s="2"/>
      <c r="U24" s="2"/>
      <c r="V24" s="2"/>
      <c r="W24" s="2"/>
    </row>
    <row r="25" spans="1:23" ht="58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5" t="str">
        <f t="shared" si="0"/>
        <v/>
      </c>
      <c r="S25" s="2"/>
      <c r="T25" s="2"/>
      <c r="U25" s="2"/>
      <c r="V25" s="2"/>
      <c r="W25" s="2"/>
    </row>
    <row r="26" spans="1:23" ht="58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5" t="str">
        <f t="shared" si="0"/>
        <v/>
      </c>
      <c r="S26" s="2"/>
      <c r="T26" s="2"/>
      <c r="U26" s="2"/>
      <c r="V26" s="2"/>
      <c r="W26" s="2"/>
    </row>
    <row r="27" spans="1:23" ht="58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5" t="str">
        <f t="shared" si="0"/>
        <v/>
      </c>
      <c r="S27" s="2"/>
      <c r="T27" s="2"/>
      <c r="U27" s="2"/>
      <c r="V27" s="2"/>
      <c r="W27" s="2"/>
    </row>
    <row r="28" spans="1:23" ht="5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5" t="str">
        <f t="shared" si="0"/>
        <v/>
      </c>
      <c r="S28" s="2"/>
      <c r="T28" s="2"/>
      <c r="U28" s="2"/>
      <c r="V28" s="2"/>
      <c r="W28" s="2"/>
    </row>
    <row r="29" spans="1:23" ht="5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5" t="str">
        <f t="shared" si="0"/>
        <v/>
      </c>
      <c r="S29" s="2"/>
      <c r="T29" s="2"/>
      <c r="U29" s="2"/>
      <c r="V29" s="2"/>
      <c r="W29" s="2"/>
    </row>
    <row r="30" spans="1:23" ht="5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5" t="str">
        <f t="shared" si="0"/>
        <v/>
      </c>
      <c r="S30" s="2"/>
      <c r="T30" s="2"/>
      <c r="U30" s="2"/>
      <c r="V30" s="2"/>
      <c r="W30" s="2"/>
    </row>
    <row r="31" spans="1:23" ht="5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5" t="str">
        <f t="shared" si="0"/>
        <v/>
      </c>
      <c r="S31" s="2"/>
      <c r="T31" s="2"/>
      <c r="U31" s="2"/>
      <c r="V31" s="2"/>
      <c r="W31" s="2"/>
    </row>
    <row r="32" spans="1:23" ht="58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5" t="str">
        <f t="shared" si="0"/>
        <v/>
      </c>
      <c r="S32" s="2"/>
      <c r="T32" s="2"/>
      <c r="U32" s="2"/>
      <c r="V32" s="2"/>
      <c r="W32" s="2"/>
    </row>
    <row r="33" spans="1:23" ht="5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5" t="str">
        <f t="shared" si="0"/>
        <v/>
      </c>
      <c r="S33" s="2"/>
      <c r="T33" s="2"/>
      <c r="U33" s="2"/>
      <c r="V33" s="2"/>
      <c r="W33" s="2"/>
    </row>
    <row r="34" spans="1:23" ht="5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5" t="str">
        <f t="shared" si="0"/>
        <v/>
      </c>
      <c r="S34" s="2"/>
      <c r="T34" s="2"/>
      <c r="U34" s="2"/>
      <c r="V34" s="2"/>
      <c r="W34" s="2"/>
    </row>
    <row r="35" spans="1:23" ht="5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5" t="str">
        <f t="shared" si="0"/>
        <v/>
      </c>
      <c r="S35" s="2"/>
      <c r="T35" s="2"/>
      <c r="U35" s="2"/>
      <c r="V35" s="2"/>
      <c r="W35" s="2"/>
    </row>
    <row r="36" spans="1:23" ht="5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5" t="str">
        <f t="shared" si="0"/>
        <v/>
      </c>
      <c r="S36" s="2"/>
      <c r="T36" s="2"/>
      <c r="U36" s="2"/>
      <c r="V36" s="2"/>
      <c r="W36" s="2"/>
    </row>
    <row r="37" spans="1:23" ht="58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5" t="str">
        <f t="shared" si="0"/>
        <v/>
      </c>
      <c r="S37" s="2"/>
      <c r="T37" s="2"/>
      <c r="U37" s="2"/>
      <c r="V37" s="2"/>
      <c r="W37" s="2"/>
    </row>
    <row r="38" spans="1:23" ht="58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5" t="str">
        <f t="shared" si="0"/>
        <v/>
      </c>
      <c r="S38" s="2"/>
      <c r="T38" s="2"/>
      <c r="U38" s="2"/>
      <c r="V38" s="2"/>
      <c r="W38" s="2"/>
    </row>
    <row r="39" spans="1:23" ht="58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5" t="str">
        <f t="shared" si="0"/>
        <v/>
      </c>
      <c r="S39" s="2"/>
      <c r="T39" s="2"/>
      <c r="U39" s="2"/>
      <c r="V39" s="2"/>
      <c r="W39" s="2"/>
    </row>
    <row r="40" spans="1:23" ht="58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5" t="str">
        <f t="shared" si="0"/>
        <v/>
      </c>
      <c r="S40" s="2"/>
      <c r="T40" s="2"/>
      <c r="U40" s="2"/>
      <c r="V40" s="2"/>
      <c r="W40" s="2"/>
    </row>
    <row r="41" spans="1:23" ht="58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5" t="str">
        <f t="shared" si="0"/>
        <v/>
      </c>
      <c r="S41" s="2"/>
      <c r="T41" s="2"/>
      <c r="U41" s="2"/>
      <c r="V41" s="2"/>
      <c r="W41" s="2"/>
    </row>
    <row r="42" spans="1:23" ht="58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5" t="str">
        <f t="shared" si="0"/>
        <v/>
      </c>
      <c r="S42" s="2"/>
      <c r="T42" s="2"/>
      <c r="U42" s="2"/>
      <c r="V42" s="2"/>
      <c r="W42" s="2"/>
    </row>
    <row r="43" spans="1:23" ht="58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5" t="str">
        <f t="shared" si="0"/>
        <v/>
      </c>
      <c r="S43" s="2"/>
      <c r="T43" s="2"/>
      <c r="U43" s="2"/>
      <c r="V43" s="2"/>
      <c r="W43" s="2"/>
    </row>
    <row r="44" spans="1:23" ht="58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5" t="str">
        <f t="shared" si="0"/>
        <v/>
      </c>
      <c r="S44" s="2"/>
      <c r="T44" s="2"/>
      <c r="U44" s="2"/>
      <c r="V44" s="2"/>
      <c r="W44" s="2"/>
    </row>
    <row r="45" spans="1:23" ht="5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5" t="str">
        <f t="shared" si="0"/>
        <v/>
      </c>
      <c r="S45" s="2"/>
      <c r="T45" s="2"/>
      <c r="U45" s="2"/>
      <c r="V45" s="2"/>
      <c r="W45" s="2"/>
    </row>
    <row r="46" spans="1:23" ht="58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5" t="str">
        <f t="shared" si="0"/>
        <v/>
      </c>
      <c r="S46" s="2"/>
      <c r="T46" s="2"/>
      <c r="U46" s="2"/>
      <c r="V46" s="2"/>
      <c r="W46" s="2"/>
    </row>
    <row r="47" spans="1:23" ht="58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5" t="str">
        <f t="shared" si="0"/>
        <v/>
      </c>
      <c r="S47" s="2"/>
      <c r="T47" s="2"/>
      <c r="U47" s="2"/>
      <c r="V47" s="2"/>
      <c r="W47" s="2"/>
    </row>
  </sheetData>
  <autoFilter ref="A1:W47" xr:uid="{00000000-0009-0000-0000-000007000000}"/>
  <conditionalFormatting sqref="R2:R47">
    <cfRule type="colorScale" priority="1">
      <colorScale>
        <cfvo type="num" val="0"/>
        <cfvo type="num" val="100"/>
        <color rgb="FFF5C6C6"/>
        <color rgb="FF9DE0CC"/>
      </colorScale>
    </cfRule>
  </conditionalFormatting>
  <dataValidations count="2">
    <dataValidation type="whole" allowBlank="1" showErrorMessage="1" error="Enter a whole number from 0 to 5." sqref="M2:P47" xr:uid="{00000000-0002-0000-0700-000000000000}">
      <formula1>0</formula1>
      <formula2>5</formula2>
    </dataValidation>
    <dataValidation type="list" allowBlank="1" showErrorMessage="1" errorTitle="Choose a listed value" error="Use the dropdown or leave blank." sqref="Q2:Q501" xr:uid="{00000000-0002-0000-0700-000001000000}">
      <formula1>"Hypothesis,Collecting,Validated,Rejected"</formula1>
    </dataValidation>
  </dataValidations>
  <printOptions horizontalCentere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  <pageSetUpPr fitToPage="1"/>
  </sheetPr>
  <dimension ref="A1:Q2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5" width="25" customWidth="1"/>
    <col min="6" max="6" width="42" customWidth="1"/>
    <col min="7" max="8" width="25" customWidth="1"/>
    <col min="9" max="10" width="42" customWidth="1"/>
    <col min="11" max="17" width="25" customWidth="1"/>
  </cols>
  <sheetData>
    <row r="1" spans="1:17" ht="42" customHeight="1" x14ac:dyDescent="0.2">
      <c r="A1" s="1" t="s">
        <v>347</v>
      </c>
      <c r="B1" s="1" t="s">
        <v>348</v>
      </c>
      <c r="C1" s="1" t="s">
        <v>294</v>
      </c>
      <c r="D1" s="1" t="s">
        <v>73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</v>
      </c>
      <c r="P1" s="1" t="s">
        <v>4</v>
      </c>
      <c r="Q1" s="1" t="s">
        <v>359</v>
      </c>
    </row>
    <row r="2" spans="1:17" ht="58" customHeight="1" x14ac:dyDescent="0.2">
      <c r="A2" s="2" t="s">
        <v>360</v>
      </c>
      <c r="B2" s="2" t="s">
        <v>336</v>
      </c>
      <c r="C2" s="2" t="s">
        <v>89</v>
      </c>
      <c r="D2" s="2" t="s">
        <v>309</v>
      </c>
      <c r="E2" s="2" t="s">
        <v>361</v>
      </c>
      <c r="F2" s="2" t="s">
        <v>362</v>
      </c>
      <c r="G2" s="2"/>
      <c r="H2" s="2"/>
      <c r="I2" s="2" t="s">
        <v>363</v>
      </c>
      <c r="J2" s="2"/>
      <c r="K2" s="2" t="s">
        <v>364</v>
      </c>
      <c r="L2" s="2" t="s">
        <v>365</v>
      </c>
      <c r="M2" s="2" t="s">
        <v>366</v>
      </c>
      <c r="N2" s="2"/>
      <c r="O2" s="2" t="s">
        <v>8</v>
      </c>
      <c r="P2" s="2" t="s">
        <v>367</v>
      </c>
      <c r="Q2" s="2"/>
    </row>
    <row r="3" spans="1:17" ht="58" customHeight="1" x14ac:dyDescent="0.2">
      <c r="A3" s="2" t="s">
        <v>368</v>
      </c>
      <c r="B3" s="2" t="s">
        <v>369</v>
      </c>
      <c r="C3" s="2" t="s">
        <v>100</v>
      </c>
      <c r="D3" s="2" t="s">
        <v>101</v>
      </c>
      <c r="E3" s="2" t="s">
        <v>370</v>
      </c>
      <c r="F3" s="2" t="s">
        <v>362</v>
      </c>
      <c r="G3" s="2"/>
      <c r="H3" s="2"/>
      <c r="I3" s="2" t="s">
        <v>371</v>
      </c>
      <c r="J3" s="2"/>
      <c r="K3" s="2" t="s">
        <v>372</v>
      </c>
      <c r="L3" s="2" t="s">
        <v>373</v>
      </c>
      <c r="M3" s="2" t="s">
        <v>374</v>
      </c>
      <c r="N3" s="2"/>
      <c r="O3" s="2" t="s">
        <v>8</v>
      </c>
      <c r="P3" s="2" t="s">
        <v>367</v>
      </c>
      <c r="Q3" s="2"/>
    </row>
    <row r="4" spans="1:17" ht="5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58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58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autoFilter ref="A1:Q21" xr:uid="{00000000-0009-0000-0000-000008000000}"/>
  <printOptions horizontalCentere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  <pageSetUpPr fitToPage="1"/>
  </sheetPr>
  <dimension ref="A1:R6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7" width="25" customWidth="1"/>
    <col min="18" max="18" width="42" customWidth="1"/>
  </cols>
  <sheetData>
    <row r="1" spans="1:18" ht="42" customHeight="1" x14ac:dyDescent="0.2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263</v>
      </c>
      <c r="R1" s="1" t="s">
        <v>53</v>
      </c>
    </row>
    <row r="2" spans="1:18" ht="58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 t="str">
        <f t="shared" ref="O2:O33" si="0">IF(OR(COUNT(M2:N2)&lt;2,N2=0),"",M2/N2)</f>
        <v/>
      </c>
      <c r="P2" s="2"/>
      <c r="Q2" s="2"/>
      <c r="R2" s="2"/>
    </row>
    <row r="3" spans="1:18" ht="5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" t="str">
        <f t="shared" si="0"/>
        <v/>
      </c>
      <c r="P3" s="2"/>
      <c r="Q3" s="2"/>
      <c r="R3" s="2"/>
    </row>
    <row r="4" spans="1:18" ht="5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 t="str">
        <f t="shared" si="0"/>
        <v/>
      </c>
      <c r="P4" s="2"/>
      <c r="Q4" s="2"/>
      <c r="R4" s="2"/>
    </row>
    <row r="5" spans="1:18" ht="58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6" t="str">
        <f t="shared" si="0"/>
        <v/>
      </c>
      <c r="P5" s="2"/>
      <c r="Q5" s="2"/>
      <c r="R5" s="2"/>
    </row>
    <row r="6" spans="1:18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 t="str">
        <f t="shared" si="0"/>
        <v/>
      </c>
      <c r="P6" s="2"/>
      <c r="Q6" s="2"/>
      <c r="R6" s="2"/>
    </row>
    <row r="7" spans="1:18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6" t="str">
        <f t="shared" si="0"/>
        <v/>
      </c>
      <c r="P7" s="2"/>
      <c r="Q7" s="2"/>
      <c r="R7" s="2"/>
    </row>
    <row r="8" spans="1:18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6" t="str">
        <f t="shared" si="0"/>
        <v/>
      </c>
      <c r="P8" s="2"/>
      <c r="Q8" s="2"/>
      <c r="R8" s="2"/>
    </row>
    <row r="9" spans="1:18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 t="str">
        <f t="shared" si="0"/>
        <v/>
      </c>
      <c r="P9" s="2"/>
      <c r="Q9" s="2"/>
      <c r="R9" s="2"/>
    </row>
    <row r="10" spans="1:18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 t="str">
        <f t="shared" si="0"/>
        <v/>
      </c>
      <c r="P10" s="2"/>
      <c r="Q10" s="2"/>
      <c r="R10" s="2"/>
    </row>
    <row r="11" spans="1:18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 t="str">
        <f t="shared" si="0"/>
        <v/>
      </c>
      <c r="P11" s="2"/>
      <c r="Q11" s="2"/>
      <c r="R11" s="2"/>
    </row>
    <row r="12" spans="1:18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 t="str">
        <f t="shared" si="0"/>
        <v/>
      </c>
      <c r="P12" s="2"/>
      <c r="Q12" s="2"/>
      <c r="R12" s="2"/>
    </row>
    <row r="13" spans="1:18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 t="str">
        <f t="shared" si="0"/>
        <v/>
      </c>
      <c r="P13" s="2"/>
      <c r="Q13" s="2"/>
      <c r="R13" s="2"/>
    </row>
    <row r="14" spans="1:18" ht="58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6" t="str">
        <f t="shared" si="0"/>
        <v/>
      </c>
      <c r="P14" s="2"/>
      <c r="Q14" s="2"/>
      <c r="R14" s="2"/>
    </row>
    <row r="15" spans="1:18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6" t="str">
        <f t="shared" si="0"/>
        <v/>
      </c>
      <c r="P15" s="2"/>
      <c r="Q15" s="2"/>
      <c r="R15" s="2"/>
    </row>
    <row r="16" spans="1:18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 t="str">
        <f t="shared" si="0"/>
        <v/>
      </c>
      <c r="P16" s="2"/>
      <c r="Q16" s="2"/>
      <c r="R16" s="2"/>
    </row>
    <row r="17" spans="1:18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 t="str">
        <f t="shared" si="0"/>
        <v/>
      </c>
      <c r="P17" s="2"/>
      <c r="Q17" s="2"/>
      <c r="R17" s="2"/>
    </row>
    <row r="18" spans="1:18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 t="str">
        <f t="shared" si="0"/>
        <v/>
      </c>
      <c r="P18" s="2"/>
      <c r="Q18" s="2"/>
      <c r="R18" s="2"/>
    </row>
    <row r="19" spans="1:18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 t="str">
        <f t="shared" si="0"/>
        <v/>
      </c>
      <c r="P19" s="2"/>
      <c r="Q19" s="2"/>
      <c r="R19" s="2"/>
    </row>
    <row r="20" spans="1:18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 t="str">
        <f t="shared" si="0"/>
        <v/>
      </c>
      <c r="P20" s="2"/>
      <c r="Q20" s="2"/>
      <c r="R20" s="2"/>
    </row>
    <row r="21" spans="1:18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" t="str">
        <f t="shared" si="0"/>
        <v/>
      </c>
      <c r="P21" s="2"/>
      <c r="Q21" s="2"/>
      <c r="R21" s="2"/>
    </row>
    <row r="22" spans="1:18" ht="5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" t="str">
        <f t="shared" si="0"/>
        <v/>
      </c>
      <c r="P22" s="2"/>
      <c r="Q22" s="2"/>
      <c r="R22" s="2"/>
    </row>
    <row r="23" spans="1:18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" t="str">
        <f t="shared" si="0"/>
        <v/>
      </c>
      <c r="P23" s="2"/>
      <c r="Q23" s="2"/>
      <c r="R23" s="2"/>
    </row>
    <row r="24" spans="1:18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" t="str">
        <f t="shared" si="0"/>
        <v/>
      </c>
      <c r="P24" s="2"/>
      <c r="Q24" s="2"/>
      <c r="R24" s="2"/>
    </row>
    <row r="25" spans="1:18" ht="58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str">
        <f t="shared" si="0"/>
        <v/>
      </c>
      <c r="P25" s="2"/>
      <c r="Q25" s="2"/>
      <c r="R25" s="2"/>
    </row>
    <row r="26" spans="1:18" ht="58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 t="str">
        <f t="shared" si="0"/>
        <v/>
      </c>
      <c r="P26" s="2"/>
      <c r="Q26" s="2"/>
      <c r="R26" s="2"/>
    </row>
    <row r="27" spans="1:18" ht="58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str">
        <f t="shared" si="0"/>
        <v/>
      </c>
      <c r="P27" s="2"/>
      <c r="Q27" s="2"/>
      <c r="R27" s="2"/>
    </row>
    <row r="28" spans="1:18" ht="5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 t="str">
        <f t="shared" si="0"/>
        <v/>
      </c>
      <c r="P28" s="2"/>
      <c r="Q28" s="2"/>
      <c r="R28" s="2"/>
    </row>
    <row r="29" spans="1:18" ht="5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 t="str">
        <f t="shared" si="0"/>
        <v/>
      </c>
      <c r="P29" s="2"/>
      <c r="Q29" s="2"/>
      <c r="R29" s="2"/>
    </row>
    <row r="30" spans="1:18" ht="5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 t="str">
        <f t="shared" si="0"/>
        <v/>
      </c>
      <c r="P30" s="2"/>
      <c r="Q30" s="2"/>
      <c r="R30" s="2"/>
    </row>
    <row r="31" spans="1:18" ht="5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 t="str">
        <f t="shared" si="0"/>
        <v/>
      </c>
      <c r="P31" s="2"/>
      <c r="Q31" s="2"/>
      <c r="R31" s="2"/>
    </row>
    <row r="32" spans="1:18" ht="58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 t="str">
        <f t="shared" si="0"/>
        <v/>
      </c>
      <c r="P32" s="2"/>
      <c r="Q32" s="2"/>
      <c r="R32" s="2"/>
    </row>
    <row r="33" spans="1:18" ht="5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 t="str">
        <f t="shared" si="0"/>
        <v/>
      </c>
      <c r="P33" s="2"/>
      <c r="Q33" s="2"/>
      <c r="R33" s="2"/>
    </row>
    <row r="34" spans="1:18" ht="5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 t="str">
        <f t="shared" ref="O34:O65" si="1">IF(OR(COUNT(M34:N34)&lt;2,N34=0),"",M34/N34)</f>
        <v/>
      </c>
      <c r="P34" s="2"/>
      <c r="Q34" s="2"/>
      <c r="R34" s="2"/>
    </row>
    <row r="35" spans="1:18" ht="5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 t="str">
        <f t="shared" si="1"/>
        <v/>
      </c>
      <c r="P35" s="2"/>
      <c r="Q35" s="2"/>
      <c r="R35" s="2"/>
    </row>
    <row r="36" spans="1:18" ht="5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 t="str">
        <f t="shared" si="1"/>
        <v/>
      </c>
      <c r="P36" s="2"/>
      <c r="Q36" s="2"/>
      <c r="R36" s="2"/>
    </row>
    <row r="37" spans="1:18" ht="58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 t="str">
        <f t="shared" si="1"/>
        <v/>
      </c>
      <c r="P37" s="2"/>
      <c r="Q37" s="2"/>
      <c r="R37" s="2"/>
    </row>
    <row r="38" spans="1:18" ht="58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 t="str">
        <f t="shared" si="1"/>
        <v/>
      </c>
      <c r="P38" s="2"/>
      <c r="Q38" s="2"/>
      <c r="R38" s="2"/>
    </row>
    <row r="39" spans="1:18" ht="58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 t="str">
        <f t="shared" si="1"/>
        <v/>
      </c>
      <c r="P39" s="2"/>
      <c r="Q39" s="2"/>
      <c r="R39" s="2"/>
    </row>
    <row r="40" spans="1:18" ht="58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 t="str">
        <f t="shared" si="1"/>
        <v/>
      </c>
      <c r="P40" s="2"/>
      <c r="Q40" s="2"/>
      <c r="R40" s="2"/>
    </row>
    <row r="41" spans="1:18" ht="58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 t="str">
        <f t="shared" si="1"/>
        <v/>
      </c>
      <c r="P41" s="2"/>
      <c r="Q41" s="2"/>
      <c r="R41" s="2"/>
    </row>
    <row r="42" spans="1:18" ht="58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 t="str">
        <f t="shared" si="1"/>
        <v/>
      </c>
      <c r="P42" s="2"/>
      <c r="Q42" s="2"/>
      <c r="R42" s="2"/>
    </row>
    <row r="43" spans="1:18" ht="58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 t="str">
        <f t="shared" si="1"/>
        <v/>
      </c>
      <c r="P43" s="2"/>
      <c r="Q43" s="2"/>
      <c r="R43" s="2"/>
    </row>
    <row r="44" spans="1:18" ht="58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 t="str">
        <f t="shared" si="1"/>
        <v/>
      </c>
      <c r="P44" s="2"/>
      <c r="Q44" s="2"/>
      <c r="R44" s="2"/>
    </row>
    <row r="45" spans="1:18" ht="5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 t="str">
        <f t="shared" si="1"/>
        <v/>
      </c>
      <c r="P45" s="2"/>
      <c r="Q45" s="2"/>
      <c r="R45" s="2"/>
    </row>
    <row r="46" spans="1:18" ht="58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 t="str">
        <f t="shared" si="1"/>
        <v/>
      </c>
      <c r="P46" s="2"/>
      <c r="Q46" s="2"/>
      <c r="R46" s="2"/>
    </row>
    <row r="47" spans="1:18" ht="58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 t="str">
        <f t="shared" si="1"/>
        <v/>
      </c>
      <c r="P47" s="2"/>
      <c r="Q47" s="2"/>
      <c r="R47" s="2"/>
    </row>
    <row r="48" spans="1:18" ht="58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 t="str">
        <f t="shared" si="1"/>
        <v/>
      </c>
      <c r="P48" s="2"/>
      <c r="Q48" s="2"/>
      <c r="R48" s="2"/>
    </row>
    <row r="49" spans="1:18" ht="58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 t="str">
        <f t="shared" si="1"/>
        <v/>
      </c>
      <c r="P49" s="2"/>
      <c r="Q49" s="2"/>
      <c r="R49" s="2"/>
    </row>
    <row r="50" spans="1:18" ht="58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 t="str">
        <f t="shared" si="1"/>
        <v/>
      </c>
      <c r="P50" s="2"/>
      <c r="Q50" s="2"/>
      <c r="R50" s="2"/>
    </row>
    <row r="51" spans="1:18" ht="58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 t="str">
        <f t="shared" si="1"/>
        <v/>
      </c>
      <c r="P51" s="2"/>
      <c r="Q51" s="2"/>
      <c r="R51" s="2"/>
    </row>
    <row r="52" spans="1:18" ht="58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 t="str">
        <f t="shared" si="1"/>
        <v/>
      </c>
      <c r="P52" s="2"/>
      <c r="Q52" s="2"/>
      <c r="R52" s="2"/>
    </row>
    <row r="53" spans="1:18" ht="58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" t="str">
        <f t="shared" si="1"/>
        <v/>
      </c>
      <c r="P53" s="2"/>
      <c r="Q53" s="2"/>
      <c r="R53" s="2"/>
    </row>
    <row r="54" spans="1:18" ht="58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" t="str">
        <f t="shared" si="1"/>
        <v/>
      </c>
      <c r="P54" s="2"/>
      <c r="Q54" s="2"/>
      <c r="R54" s="2"/>
    </row>
    <row r="55" spans="1:18" ht="58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" t="str">
        <f t="shared" si="1"/>
        <v/>
      </c>
      <c r="P55" s="2"/>
      <c r="Q55" s="2"/>
      <c r="R55" s="2"/>
    </row>
    <row r="56" spans="1:18" ht="58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 t="str">
        <f t="shared" si="1"/>
        <v/>
      </c>
      <c r="P56" s="2"/>
      <c r="Q56" s="2"/>
      <c r="R56" s="2"/>
    </row>
    <row r="57" spans="1:18" ht="58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 t="str">
        <f t="shared" si="1"/>
        <v/>
      </c>
      <c r="P57" s="2"/>
      <c r="Q57" s="2"/>
      <c r="R57" s="2"/>
    </row>
    <row r="58" spans="1:18" ht="58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" t="str">
        <f t="shared" si="1"/>
        <v/>
      </c>
      <c r="P58" s="2"/>
      <c r="Q58" s="2"/>
      <c r="R58" s="2"/>
    </row>
    <row r="59" spans="1:18" ht="58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" t="str">
        <f t="shared" si="1"/>
        <v/>
      </c>
      <c r="P59" s="2"/>
      <c r="Q59" s="2"/>
      <c r="R59" s="2"/>
    </row>
    <row r="60" spans="1:18" ht="58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" t="str">
        <f t="shared" si="1"/>
        <v/>
      </c>
      <c r="P60" s="2"/>
      <c r="Q60" s="2"/>
      <c r="R60" s="2"/>
    </row>
    <row r="61" spans="1:18" ht="58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" t="str">
        <f t="shared" si="1"/>
        <v/>
      </c>
      <c r="P61" s="2"/>
      <c r="Q61" s="2"/>
      <c r="R61" s="2"/>
    </row>
  </sheetData>
  <autoFilter ref="A1:R61" xr:uid="{00000000-0009-0000-0000-000009000000}"/>
  <printOptions horizontalCentere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Right="0"/>
    <pageSetUpPr fitToPage="1"/>
  </sheetPr>
  <dimension ref="A1:N36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4" width="25" customWidth="1"/>
  </cols>
  <sheetData>
    <row r="1" spans="1:14" ht="42" customHeight="1" x14ac:dyDescent="0.2">
      <c r="A1" s="1" t="s">
        <v>377</v>
      </c>
      <c r="B1" s="1" t="s">
        <v>378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</row>
    <row r="2" spans="1:14" ht="58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5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58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58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5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58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58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58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5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5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5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5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58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5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5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5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5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</sheetData>
  <autoFilter ref="A1:N36" xr:uid="{00000000-0009-0000-0000-00000A000000}"/>
  <printOptions horizontalCentere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Right="0"/>
    <pageSetUpPr fitToPage="1"/>
  </sheetPr>
  <dimension ref="A1:G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5" customWidth="1"/>
    <col min="5" max="5" width="42" customWidth="1"/>
    <col min="6" max="7" width="25" customWidth="1"/>
  </cols>
  <sheetData>
    <row r="1" spans="1:7" ht="42" customHeight="1" x14ac:dyDescent="0.2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358</v>
      </c>
      <c r="G1" s="1" t="s">
        <v>305</v>
      </c>
    </row>
    <row r="2" spans="1:7" ht="58" customHeight="1" x14ac:dyDescent="0.2">
      <c r="A2" s="2" t="s">
        <v>408</v>
      </c>
      <c r="B2" s="2" t="s">
        <v>409</v>
      </c>
      <c r="C2" s="2" t="s">
        <v>410</v>
      </c>
      <c r="D2" s="2" t="s">
        <v>411</v>
      </c>
      <c r="E2" s="2" t="s">
        <v>412</v>
      </c>
      <c r="F2" s="2"/>
      <c r="G2" s="2"/>
    </row>
    <row r="3" spans="1:7" ht="58" customHeight="1" x14ac:dyDescent="0.2">
      <c r="A3" s="2" t="s">
        <v>413</v>
      </c>
      <c r="B3" s="2" t="s">
        <v>414</v>
      </c>
      <c r="C3" s="2" t="s">
        <v>415</v>
      </c>
      <c r="D3" s="2" t="s">
        <v>416</v>
      </c>
      <c r="E3" s="2" t="s">
        <v>417</v>
      </c>
      <c r="F3" s="2"/>
      <c r="G3" s="2"/>
    </row>
    <row r="4" spans="1:7" ht="58" customHeight="1" x14ac:dyDescent="0.2">
      <c r="A4" s="2" t="s">
        <v>418</v>
      </c>
      <c r="B4" s="2" t="s">
        <v>419</v>
      </c>
      <c r="C4" s="2" t="s">
        <v>420</v>
      </c>
      <c r="D4" s="2" t="s">
        <v>421</v>
      </c>
      <c r="E4" s="2" t="s">
        <v>422</v>
      </c>
      <c r="F4" s="2"/>
      <c r="G4" s="2"/>
    </row>
    <row r="5" spans="1:7" ht="58" customHeight="1" x14ac:dyDescent="0.2">
      <c r="A5" s="2" t="s">
        <v>423</v>
      </c>
      <c r="B5" s="2" t="s">
        <v>424</v>
      </c>
      <c r="C5" s="2" t="s">
        <v>425</v>
      </c>
      <c r="D5" s="2" t="s">
        <v>416</v>
      </c>
      <c r="E5" s="2" t="s">
        <v>426</v>
      </c>
      <c r="F5" s="2"/>
      <c r="G5" s="2"/>
    </row>
    <row r="6" spans="1:7" ht="58" customHeight="1" x14ac:dyDescent="0.2">
      <c r="A6" s="2" t="s">
        <v>427</v>
      </c>
      <c r="B6" s="2" t="s">
        <v>428</v>
      </c>
      <c r="C6" s="2" t="s">
        <v>429</v>
      </c>
      <c r="D6" s="2" t="s">
        <v>430</v>
      </c>
      <c r="E6" s="2" t="s">
        <v>431</v>
      </c>
      <c r="F6" s="2"/>
      <c r="G6" s="2"/>
    </row>
    <row r="7" spans="1:7" ht="58" customHeight="1" x14ac:dyDescent="0.2">
      <c r="A7" s="2" t="s">
        <v>432</v>
      </c>
      <c r="B7" s="2" t="s">
        <v>433</v>
      </c>
      <c r="C7" s="2" t="s">
        <v>434</v>
      </c>
      <c r="D7" s="2" t="s">
        <v>430</v>
      </c>
      <c r="E7" s="2" t="s">
        <v>435</v>
      </c>
      <c r="F7" s="2"/>
      <c r="G7" s="2"/>
    </row>
  </sheetData>
  <autoFilter ref="A1:G7" xr:uid="{00000000-0009-0000-0000-00000B000000}"/>
  <printOptions horizontalCentere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Right="0"/>
    <pageSetUpPr fitToPage="1"/>
  </sheetPr>
  <dimension ref="A1:J36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3" width="25" customWidth="1"/>
    <col min="4" max="4" width="42" customWidth="1"/>
    <col min="5" max="5" width="25" customWidth="1"/>
    <col min="6" max="6" width="42" customWidth="1"/>
    <col min="7" max="10" width="25" customWidth="1"/>
  </cols>
  <sheetData>
    <row r="1" spans="1:10" ht="42" customHeight="1" x14ac:dyDescent="0.2">
      <c r="A1" s="1" t="s">
        <v>282</v>
      </c>
      <c r="B1" s="1" t="s">
        <v>436</v>
      </c>
      <c r="C1" s="1" t="s">
        <v>402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3</v>
      </c>
      <c r="I1" s="1" t="s">
        <v>441</v>
      </c>
      <c r="J1" s="1" t="s">
        <v>442</v>
      </c>
    </row>
    <row r="2" spans="1:10" ht="58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5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5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58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58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58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58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58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58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5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58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58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58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5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58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58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58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58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5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5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5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58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58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58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58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58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5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5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5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5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58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5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5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5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5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</sheetData>
  <autoFilter ref="A1:J36" xr:uid="{00000000-0009-0000-0000-00000C000000}"/>
  <printOptions horizontalCentere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Right="0"/>
    <pageSetUpPr fitToPage="1"/>
  </sheetPr>
  <dimension ref="A1:B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5" customWidth="1"/>
  </cols>
  <sheetData>
    <row r="1" spans="1:2" ht="42" customHeight="1" x14ac:dyDescent="0.2">
      <c r="A1" s="1" t="s">
        <v>443</v>
      </c>
      <c r="B1" s="1" t="s">
        <v>444</v>
      </c>
    </row>
    <row r="2" spans="1:2" ht="58" customHeight="1" x14ac:dyDescent="0.2">
      <c r="A2" s="2" t="s">
        <v>445</v>
      </c>
      <c r="B2" s="2" t="s">
        <v>446</v>
      </c>
    </row>
    <row r="3" spans="1:2" ht="58" customHeight="1" x14ac:dyDescent="0.2">
      <c r="A3" s="2" t="s">
        <v>132</v>
      </c>
      <c r="B3" s="2" t="s">
        <v>447</v>
      </c>
    </row>
    <row r="4" spans="1:2" ht="58" customHeight="1" x14ac:dyDescent="0.2">
      <c r="A4" s="2" t="s">
        <v>448</v>
      </c>
      <c r="B4" s="2" t="s">
        <v>449</v>
      </c>
    </row>
    <row r="5" spans="1:2" ht="58" customHeight="1" x14ac:dyDescent="0.2">
      <c r="A5" s="2" t="s">
        <v>450</v>
      </c>
      <c r="B5" s="2" t="s">
        <v>451</v>
      </c>
    </row>
    <row r="6" spans="1:2" ht="58" customHeight="1" x14ac:dyDescent="0.2">
      <c r="A6" s="2" t="s">
        <v>257</v>
      </c>
      <c r="B6" s="2" t="s">
        <v>452</v>
      </c>
    </row>
    <row r="7" spans="1:2" ht="58" customHeight="1" x14ac:dyDescent="0.2">
      <c r="A7" s="2" t="s">
        <v>453</v>
      </c>
      <c r="B7" s="2" t="s">
        <v>454</v>
      </c>
    </row>
    <row r="8" spans="1:2" ht="58" customHeight="1" x14ac:dyDescent="0.2">
      <c r="A8" s="2" t="s">
        <v>455</v>
      </c>
      <c r="B8" s="2" t="s">
        <v>456</v>
      </c>
    </row>
    <row r="9" spans="1:2" ht="58" customHeight="1" x14ac:dyDescent="0.2">
      <c r="A9" s="2" t="s">
        <v>457</v>
      </c>
      <c r="B9" s="2" t="s">
        <v>458</v>
      </c>
    </row>
    <row r="10" spans="1:2" ht="58" customHeight="1" x14ac:dyDescent="0.2">
      <c r="A10" s="2" t="s">
        <v>459</v>
      </c>
      <c r="B10" s="2" t="s">
        <v>460</v>
      </c>
    </row>
    <row r="11" spans="1:2" ht="58" customHeight="1" x14ac:dyDescent="0.2">
      <c r="A11" s="2" t="s">
        <v>461</v>
      </c>
      <c r="B11" s="2" t="s">
        <v>462</v>
      </c>
    </row>
    <row r="12" spans="1:2" ht="58" customHeight="1" x14ac:dyDescent="0.2">
      <c r="A12" s="2" t="s">
        <v>463</v>
      </c>
      <c r="B12" s="2" t="s">
        <v>464</v>
      </c>
    </row>
    <row r="13" spans="1:2" ht="58" customHeight="1" x14ac:dyDescent="0.2">
      <c r="A13" s="2" t="s">
        <v>465</v>
      </c>
      <c r="B13" s="2" t="s">
        <v>466</v>
      </c>
    </row>
    <row r="14" spans="1:2" ht="58" customHeight="1" x14ac:dyDescent="0.2">
      <c r="A14" s="2" t="s">
        <v>467</v>
      </c>
      <c r="B14" s="2" t="s">
        <v>468</v>
      </c>
    </row>
    <row r="15" spans="1:2" ht="58" customHeight="1" x14ac:dyDescent="0.2">
      <c r="A15" s="2" t="s">
        <v>469</v>
      </c>
      <c r="B15" s="2" t="s">
        <v>470</v>
      </c>
    </row>
    <row r="16" spans="1:2" ht="58" customHeight="1" x14ac:dyDescent="0.2">
      <c r="A16" s="2" t="s">
        <v>471</v>
      </c>
      <c r="B16" s="2" t="s">
        <v>472</v>
      </c>
    </row>
    <row r="17" spans="1:2" ht="58" customHeight="1" x14ac:dyDescent="0.2">
      <c r="A17" s="2" t="s">
        <v>473</v>
      </c>
      <c r="B17" s="2" t="s">
        <v>474</v>
      </c>
    </row>
    <row r="18" spans="1:2" ht="58" customHeight="1" x14ac:dyDescent="0.2">
      <c r="A18" s="2" t="s">
        <v>475</v>
      </c>
      <c r="B18" s="2" t="s">
        <v>476</v>
      </c>
    </row>
  </sheetData>
  <autoFilter ref="A1:B18" xr:uid="{00000000-0009-0000-0000-00000D000000}"/>
  <printOptions horizontalCentere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Right="0"/>
    <pageSetUpPr fitToPage="1"/>
  </sheetPr>
  <dimension ref="A1:D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5" customWidth="1"/>
  </cols>
  <sheetData>
    <row r="1" spans="1:4" ht="42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</row>
    <row r="2" spans="1:4" ht="58" customHeight="1" x14ac:dyDescent="0.2">
      <c r="A2" s="2" t="s">
        <v>481</v>
      </c>
      <c r="B2" s="2" t="s">
        <v>482</v>
      </c>
      <c r="C2" s="2" t="s">
        <v>483</v>
      </c>
      <c r="D2" s="2" t="s">
        <v>484</v>
      </c>
    </row>
    <row r="3" spans="1:4" ht="58" customHeight="1" x14ac:dyDescent="0.2">
      <c r="A3" s="2" t="s">
        <v>485</v>
      </c>
      <c r="B3" s="2" t="s">
        <v>486</v>
      </c>
      <c r="C3" s="2" t="s">
        <v>487</v>
      </c>
      <c r="D3" s="2" t="s">
        <v>484</v>
      </c>
    </row>
    <row r="4" spans="1:4" ht="58" customHeight="1" x14ac:dyDescent="0.2">
      <c r="A4" s="2" t="s">
        <v>488</v>
      </c>
      <c r="B4" s="2" t="s">
        <v>489</v>
      </c>
      <c r="C4" s="2" t="s">
        <v>490</v>
      </c>
      <c r="D4" s="2" t="s">
        <v>484</v>
      </c>
    </row>
    <row r="5" spans="1:4" ht="58" customHeight="1" x14ac:dyDescent="0.2">
      <c r="A5" s="2" t="s">
        <v>491</v>
      </c>
      <c r="B5" s="2" t="s">
        <v>492</v>
      </c>
      <c r="C5" s="2" t="s">
        <v>493</v>
      </c>
      <c r="D5" s="2" t="s">
        <v>484</v>
      </c>
    </row>
    <row r="6" spans="1:4" ht="58" customHeight="1" x14ac:dyDescent="0.2">
      <c r="A6" s="2" t="s">
        <v>494</v>
      </c>
      <c r="B6" s="2" t="s">
        <v>495</v>
      </c>
      <c r="C6" s="2" t="s">
        <v>496</v>
      </c>
      <c r="D6" s="2" t="s">
        <v>484</v>
      </c>
    </row>
    <row r="7" spans="1:4" ht="58" customHeight="1" x14ac:dyDescent="0.2">
      <c r="A7" s="2" t="s">
        <v>497</v>
      </c>
      <c r="B7" s="2" t="s">
        <v>498</v>
      </c>
      <c r="C7" s="2" t="s">
        <v>499</v>
      </c>
      <c r="D7" s="2" t="s">
        <v>484</v>
      </c>
    </row>
    <row r="8" spans="1:4" ht="58" customHeight="1" x14ac:dyDescent="0.2">
      <c r="A8" s="2" t="s">
        <v>500</v>
      </c>
      <c r="B8" s="2" t="s">
        <v>501</v>
      </c>
      <c r="C8" s="2" t="s">
        <v>502</v>
      </c>
      <c r="D8" s="2" t="s">
        <v>484</v>
      </c>
    </row>
    <row r="9" spans="1:4" ht="58" customHeight="1" x14ac:dyDescent="0.2">
      <c r="A9" s="2" t="s">
        <v>503</v>
      </c>
      <c r="B9" s="2" t="s">
        <v>504</v>
      </c>
      <c r="C9" s="2" t="s">
        <v>505</v>
      </c>
      <c r="D9" s="2" t="s">
        <v>484</v>
      </c>
    </row>
    <row r="10" spans="1:4" ht="58" customHeight="1" x14ac:dyDescent="0.2">
      <c r="A10" s="2" t="s">
        <v>506</v>
      </c>
      <c r="B10" s="2" t="s">
        <v>507</v>
      </c>
      <c r="C10" s="2" t="s">
        <v>508</v>
      </c>
      <c r="D10" s="2" t="s">
        <v>484</v>
      </c>
    </row>
    <row r="11" spans="1:4" ht="58" customHeight="1" x14ac:dyDescent="0.2">
      <c r="A11" s="2" t="s">
        <v>509</v>
      </c>
      <c r="B11" s="2" t="s">
        <v>510</v>
      </c>
      <c r="C11" s="2" t="s">
        <v>511</v>
      </c>
      <c r="D11" s="2" t="s">
        <v>484</v>
      </c>
    </row>
  </sheetData>
  <autoFilter ref="A1:D11" xr:uid="{00000000-0009-0000-0000-00000E000000}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00_Start</vt:lpstr>
      <vt:lpstr>01_Markets</vt:lpstr>
      <vt:lpstr>02_Pages</vt:lpstr>
      <vt:lpstr>03_Seeds</vt:lpstr>
      <vt:lpstr>04_Keyword_Data</vt:lpstr>
      <vt:lpstr>05_SERP_Evidence</vt:lpstr>
      <vt:lpstr>06_Insights</vt:lpstr>
      <vt:lpstr>07_Page_Map</vt:lpstr>
      <vt:lpstr>08_Content_Briefs</vt:lpstr>
      <vt:lpstr>09_Search_Console</vt:lpstr>
      <vt:lpstr>10_Outcomes</vt:lpstr>
      <vt:lpstr>11_Exclusions</vt:lpstr>
      <vt:lpstr>12_Decisions</vt:lpstr>
      <vt:lpstr>13_Definitions</vt:lpstr>
      <vt:lpstr>14_Sources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Castrillon Calderón, Camilo Andrés</cp:lastModifiedBy>
  <dcterms:created xsi:type="dcterms:W3CDTF">2026-10-16T01:47:46Z</dcterms:created>
  <dcterms:modified xsi:type="dcterms:W3CDTF">2026-10-16T18:20:29Z</dcterms:modified>
</cp:coreProperties>
</file>